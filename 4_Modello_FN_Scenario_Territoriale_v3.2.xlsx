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8f3057162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GIMI" sheetId="1" r:id="Ra6c31c3f910d4eae"/>
    <x:sheet xmlns:r="http://schemas.openxmlformats.org/officeDocument/2006/relationships" name="QUADRO" sheetId="2" r:id="Re6176a43a6c14193"/>
    <x:sheet xmlns:r="http://schemas.openxmlformats.org/officeDocument/2006/relationships" name="PARAMETRI" sheetId="3" r:id="Re6bb3d8aa920466b"/>
    <x:sheet xmlns:r="http://schemas.openxmlformats.org/officeDocument/2006/relationships" name="DATI" sheetId="4" r:id="R90a2a5d6d2db4ae1"/>
    <x:sheet xmlns:r="http://schemas.openxmlformats.org/officeDocument/2006/relationships" name="SCENARIO" sheetId="5" r:id="R0f7430625e5f4fdd"/>
    <x:sheet xmlns:r="http://schemas.openxmlformats.org/officeDocument/2006/relationships" name="SENSIBILITA" sheetId="6" r:id="R6190212c1cfa470f"/>
    <x:sheet xmlns:r="http://schemas.openxmlformats.org/officeDocument/2006/relationships" name="VALIDAZIONE" sheetId="7" r:id="R85d04ac543c94f4c"/>
    <x:sheet xmlns:r="http://schemas.openxmlformats.org/officeDocument/2006/relationships" name="ISCRITTI_STORICO" sheetId="8" r:id="R6c369821491c4be3"/>
    <x:sheet xmlns:r="http://schemas.openxmlformats.org/officeDocument/2006/relationships" name="QUOTE_STORICO" sheetId="9" r:id="Rc72eb8e04ea946a3"/>
    <x:sheet xmlns:r="http://schemas.openxmlformats.org/officeDocument/2006/relationships" name="H_STORICO" sheetId="10" r:id="R8f89ce7562664105"/>
    <x:sheet xmlns:r="http://schemas.openxmlformats.org/officeDocument/2006/relationships" name="STORICO" sheetId="11" r:id="R9ec274e53e0d45ee"/>
    <x:sheet xmlns:r="http://schemas.openxmlformats.org/officeDocument/2006/relationships" name="FONTI" sheetId="12" r:id="R36200aa28ea641fd"/>
    <x:sheet xmlns:r="http://schemas.openxmlformats.org/officeDocument/2006/relationships" name="JS_STORICO" sheetId="13" r:id="R6d350698798c40a1"/>
    <x:sheet xmlns:r="http://schemas.openxmlformats.org/officeDocument/2006/relationships" name="P_STORICO" sheetId="14" r:id="R38cfbc0020ea4319"/>
    <x:sheet xmlns:r="http://schemas.openxmlformats.org/officeDocument/2006/relationships" name="P_H_STORICO" sheetId="15" r:id="R1c3eeac5f7514aba"/>
    <x:sheet xmlns:r="http://schemas.openxmlformats.org/officeDocument/2006/relationships" name="BASELINE_FISSA" sheetId="16" r:id="Redc49a0e46b646fd"/>
    <x:sheet xmlns:r="http://schemas.openxmlformats.org/officeDocument/2006/relationships" name="CONTROLLO_FORMULE" sheetId="17" r:id="R662ec461352a4710"/>
  </x:sheets>
</x:workbook>
</file>

<file path=xl/sharedStrings.xml><?xml version="1.0" encoding="utf-8"?>
<x:sst xmlns:x="http://schemas.openxmlformats.org/spreadsheetml/2006/main">
  <x:si>
    <x:t xml:space="preserve">Scenario territoriale condizionato al sondaggio nazionale. Non è un sondaggio regionale né una previsione validata.</x:t>
  </x:si>
  <x:si>
    <x:t xml:space="preserve">FOGLI</x:t>
  </x:si>
  <x:si>
    <x:t xml:space="preserve">QUADRO – indicatori principali, si aggiornano da soli.</x:t>
  </x:si>
  <x:si>
    <x:t xml:space="preserve">PARAMETRI (celle gialle) – sondaggio S, pesi, quote Ipsos, punteggi cariche, λ, fattore affluenza.</x:t>
  </x:si>
  <x:si>
    <x:t xml:space="preserve">DATI (celle gialle) – voti 2024, affluenza, preferenze, iscritti, eletti per regione.</x:t>
  </x:si>
  <x:si>
    <x:t xml:space="preserve">SCENARIO – quote, miscela p, fattore w, quota e voti di scenario, modello semplice, contributi di entropia e JS.</x:t>
  </x:si>
  <x:si>
    <x:t xml:space="preserve">SENSIBILITA – cinque schemi di pesi alternativi (formule) e forbici Monte Carlo dello script (valori fissi).</x:t>
  </x:si>
  <x:si>
    <x:t xml:space="preserve">VALIDAZIONE – stime congelate al 18/10/2026; dopo il voto si inseriscono i risultati e si leggono WMAE, skill e copertura.</x:t>
  </x:si>
  <x:si>
    <x:t xml:space="preserve">ISCRITTI_STORICO (celle da compilare) – iscritti per regione, una colonna al mese. QUOTE_STORICO, H_STORICO, STORICO – calcoli automatici.</x:t>
  </x:si>
  <x:si>
    <x:t xml:space="preserve">FONTI – provenienza e limiti di ogni dato.</x:t>
  </x:si>
  <x:si>
    <x:t xml:space="preserve">REGOLE</x:t>
  </x:si>
  <x:si>
    <x:t xml:space="preserve">1. Modificare solo le celle gialle. Il resto è calcolato.</x:t>
  </x:si>
  <x:si>
    <x:t xml:space="preserve">2. Non modificare le colonne B–C di VALIDAZIONE né il file scenario_congelato_18-10-2026.json.</x:t>
  </x:si>
  <x:si>
    <x:t xml:space="preserve">4. Le simulazioni Monte Carlo si rifanno solo con lo script modello_fn_v3_1.py (seme 42, 20.000 simulazioni).</x:t>
  </x:si>
  <x:si>
    <x:t xml:space="preserve">NOVITÀ RISPETTO A v2.1 E v3.0</x:t>
  </x:si>
  <x:si>
    <x:t xml:space="preserve">FUTURO NAZIONALE / MODELLO 3.1 (DEFINITIVO)</x:t>
  </x:si>
  <x:si>
    <x:t xml:space="preserve">Si aggiorna automaticamente quando si modificano PARAMETRI e DATI. Scenario non validato su voti reali.</x:t>
  </x:si>
  <x:si>
    <x:t xml:space="preserve">Indicatore</x:t>
  </x:si>
  <x:si>
    <x:t xml:space="preserve">Valore</x:t>
  </x:si>
  <x:si>
    <x:t xml:space="preserve">Come leggerlo</x:t>
  </x:si>
  <x:si>
    <x:t xml:space="preserve">Sondaggio nazionale S</x:t>
  </x:si>
  <x:si>
    <x:t xml:space="preserve">Supermedia YouTrend/AGI 15/10/2026</x:t>
  </x:si>
  <x:si>
    <x:t xml:space="preserve">Iscritti totali dichiarati</x:t>
  </x:si>
  <x:si>
    <x:t xml:space="preserve">Dato ufficiale del partito, 16/10/2026</x:t>
  </x:si>
  <x:si>
    <x:t xml:space="preserve">Iscritti attribuiti alle regioni</x:t>
  </x:si>
  <x:si>
    <x:t xml:space="preserve">La differenza non è attribuita a una regione</x:t>
  </x:si>
  <x:si>
    <x:t xml:space="preserve">Comitati</x:t>
  </x:si>
  <x:si>
    <x:t xml:space="preserve">Ripartizione regionale non disponibile</x:t>
  </x:si>
  <x:si>
    <x:t xml:space="preserve">Eletti censiti</x:t>
  </x:si>
  <x:si>
    <x:t xml:space="preserve">Censimento parziale</x:t>
  </x:si>
  <x:si>
    <x:t xml:space="preserve">Voti FN di scenario</x:t>
  </x:si>
  <x:si>
    <x:t xml:space="preserve">Su voti validi europee 2024 × fattore affluenza</x:t>
  </x:si>
  <x:si>
    <x:t xml:space="preserve">Regione con quota più alta</x:t>
  </x:si>
  <x:si>
    <x:t xml:space="preserve">Vedere SENSIBILITA</x:t>
  </x:si>
  <x:si>
    <x:t xml:space="preserve">Quota massima</x:t>
  </x:si>
  <x:si>
    <x:t xml:space="preserve">Regione con quota più bassa</x:t>
  </x:si>
  <x:si>
    <x:t xml:space="preserve">Quota minima</x:t>
  </x:si>
  <x:si>
    <x:t xml:space="preserve">H elettorato (voti validi 2024)</x:t>
  </x:si>
  <x:si>
    <x:t xml:space="preserve">Riferimento</x:t>
  </x:si>
  <x:si>
    <x:t xml:space="preserve">H iscritti – dato osservato</x:t>
  </x:si>
  <x:si>
    <x:t xml:space="preserve">Unico indicatore di diffusione non costruito dal modello</x:t>
  </x:si>
  <x:si>
    <x:t xml:space="preserve">H scenario</x:t>
  </x:si>
  <x:si>
    <x:t xml:space="preserve">Descrive il modello, non il voto reale</x:t>
  </x:si>
  <x:si>
    <x:t xml:space="preserve">H modello semplice</x:t>
  </x:si>
  <x:si>
    <x:t xml:space="preserve">Ripartizione su FdI+Lega 2024</x:t>
  </x:si>
  <x:si>
    <x:t xml:space="preserve">JS modello / modello semplice (nats)</x:t>
  </x:si>
  <x:si>
    <x:t xml:space="preserve">Distanza tra le due geografie</x:t>
  </x:si>
  <x:si>
    <x:t xml:space="preserve">Scostamento medio tra i due modelli (punti)</x:t>
  </x:si>
  <x:si>
    <x:t xml:space="preserve">Differenza fra due ipotesi, NON errore di voto</x:t>
  </x:si>
  <x:si>
    <x:t xml:space="preserve">Controllo: somma pesi</x:t>
  </x:si>
  <x:si>
    <x:t xml:space="preserve">Deve essere 100%</x:t>
  </x:si>
  <x:si>
    <x:t xml:space="preserve">Capacità predittiva</x:t>
  </x:si>
  <x:si>
    <x:t xml:space="preserve">LETTURA CORRETTA</x:t>
  </x:si>
  <x:si>
    <x:t xml:space="preserve">Scenario territoriale</x:t>
  </x:si>
  <x:si>
    <x:t xml:space="preserve">Non è un sondaggio regionale; i pesi sono ipotesi.</x:t>
  </x:si>
  <x:si>
    <x:t xml:space="preserve">Monte Carlo</x:t>
  </x:si>
  <x:si>
    <x:t xml:space="preserve">Le forbici misurano la sensibilità alle ipotesi, non intervalli di probabilità.</x:t>
  </x:si>
  <x:si>
    <x:t xml:space="preserve">Modello semplice</x:t>
  </x:si>
  <x:si>
    <x:t xml:space="preserve">Ripartizione su FdI+Lega 2024: termine di confronto, non prova di accuratezza.</x:t>
  </x:si>
  <x:si>
    <x:t xml:space="preserve">Validazione</x:t>
  </x:si>
  <x:si>
    <x:t xml:space="preserve">Stime congelate al 18/10/2026; risultati futuri solo nel foglio VALIDAZIONE.</x:t>
  </x:si>
  <x:si>
    <x:t xml:space="preserve">PARAMETRI / IPOTESI</x:t>
  </x:si>
  <x:si>
    <x:t xml:space="preserve">Celle gialle modificabili; le stime congelate ex ante restano in VALIDAZIONE</x:t>
  </x:si>
  <x:si>
    <x:t xml:space="preserve">Parametro</x:t>
  </x:si>
  <x:si>
    <x:t xml:space="preserve">S nazionale</x:t>
  </x:si>
  <x:si>
    <x:t xml:space="preserve">Pesi flussi</x:t>
  </x:si>
  <x:si>
    <x:t xml:space="preserve">Pesi preferenze</x:t>
  </x:si>
  <x:si>
    <x:t xml:space="preserve">Pesi iscritti</x:t>
  </x:si>
  <x:si>
    <x:t xml:space="preserve">Pesi istituzioni</x:t>
  </x:si>
  <x:si>
    <x:t xml:space="preserve">Somma pesi</x:t>
  </x:si>
  <x:si>
    <x:t xml:space="preserve">Punti deputato</x:t>
  </x:si>
  <x:si>
    <x:t xml:space="preserve">Punti regionale</x:t>
  </x:si>
  <x:si>
    <x:t xml:space="preserve">Punti sindaco</x:t>
  </x:si>
  <x:si>
    <x:t xml:space="preserve">Punti comunale</x:t>
  </x:si>
  <x:si>
    <x:t xml:space="preserve">Stabilizzazione lambda</x:t>
  </x:si>
  <x:si>
    <x:t xml:space="preserve">Quota ex FdI</x:t>
  </x:si>
  <x:si>
    <x:t xml:space="preserve">Quota ex Lega</x:t>
  </x:si>
  <x:si>
    <x:t xml:space="preserve">Quota astenuti</x:t>
  </x:si>
  <x:si>
    <x:t xml:space="preserve">Quota altri</x:t>
  </x:si>
  <x:si>
    <x:t xml:space="preserve">Votanti nazionali europee 2024</x:t>
  </x:si>
  <x:si>
    <x:t xml:space="preserve">Elettori nazionali europee 2024</x:t>
  </x:si>
  <x:si>
    <x:t xml:space="preserve">Validi/votanti nazionali</x:t>
  </x:si>
  <x:si>
    <x:t xml:space="preserve">Iscritti totali</x:t>
  </x:si>
  <x:si>
    <x:t xml:space="preserve">Fattore affluenza per voti assoluti</x:t>
  </x:si>
  <x:si>
    <x:t xml:space="preserve">1 = europee 2024 (49,7%); circa 1,3 = politiche</x:t>
  </x:si>
  <x:si>
    <x:t xml:space="preserve">DATI DI PARTENZA / REGIONI</x:t>
  </x:si>
  <x:si>
    <x:t xml:space="preserve">Voti 2024 dal JSON; preferenze Vannacci osservate 2 regioni, ricostruite 18; iscritti comunicati dal partito</x:t>
  </x:si>
  <x:si>
    <x:t xml:space="preserve">Regione</x:t>
  </x:si>
  <x:si>
    <x:t xml:space="preserve">Validi 2024</x:t>
  </x:si>
  <x:si>
    <x:t xml:space="preserve">FdI 2024</x:t>
  </x:si>
  <x:si>
    <x:t xml:space="preserve">Lega 2024</x:t>
  </x:si>
  <x:si>
    <x:t xml:space="preserve">Affluenza %</x:t>
  </x:si>
  <x:si>
    <x:t xml:space="preserve">Preferenze</x:t>
  </x:si>
  <x:si>
    <x:t xml:space="preserve">Iscritti</x:t>
  </x:si>
  <x:si>
    <x:t xml:space="preserve">Deputati</x:t>
  </x:si>
  <x:si>
    <x:t xml:space="preserve">Cons. reg.</x:t>
  </x:si>
  <x:si>
    <x:t xml:space="preserve">Sindaci</x:t>
  </x:si>
  <x:si>
    <x:t xml:space="preserve">Cons. com.</x:t>
  </x:si>
  <x:si>
    <x:t xml:space="preserve">Punti cariche</x:t>
  </x:si>
  <x:si>
    <x:t xml:space="preserve">Votanti stim.</x:t>
  </x:si>
  <x:si>
    <x:t xml:space="preserve">Astenuti stim.</x:t>
  </x:si>
  <x:si>
    <x:t xml:space="preserve">Tipo preferenze</x:t>
  </x:si>
  <x:si>
    <x:t xml:space="preserve">Qualità dati</x:t>
  </x:si>
  <x:si>
    <x:t xml:space="preserve">Piemonte</x:t>
  </x:si>
  <x:si>
    <x:t xml:space="preserve">ricostruito</x:t>
  </x:si>
  <x:si>
    <x:t xml:space="preserve">Dati e ricostruzioni: vedere FONTI</x:t>
  </x:si>
  <x:si>
    <x:t xml:space="preserve">Valle d'Aosta</x:t>
  </x:si>
  <x:si>
    <x:t xml:space="preserve">Liguria</x:t>
  </x:si>
  <x:si>
    <x:t xml:space="preserve">Lombardia</x:t>
  </x:si>
  <x:si>
    <x:t xml:space="preserve">osservato</x:t>
  </x:si>
  <x:si>
    <x:t xml:space="preserve">Trentino-Alto Adige</x:t>
  </x:si>
  <x:si>
    <x:t xml:space="preserve">Veneto</x:t>
  </x:si>
  <x:si>
    <x:t xml:space="preserve">Friuli-Venezia Giulia</x:t>
  </x:si>
  <x:si>
    <x:t xml:space="preserve">Emilia-Romagna</x:t>
  </x:si>
  <x:si>
    <x:t xml:space="preserve">Toscana</x:t>
  </x:si>
  <x:si>
    <x:t xml:space="preserve">Umbria</x:t>
  </x:si>
  <x:si>
    <x:t xml:space="preserve">Marche</x:t>
  </x:si>
  <x:si>
    <x:t xml:space="preserve">Lazio</x:t>
  </x:si>
  <x:si>
    <x:t xml:space="preserve">Abruzzo</x:t>
  </x:si>
  <x:si>
    <x:t xml:space="preserve">Molise</x:t>
  </x:si>
  <x:si>
    <x:t xml:space="preserve">Campania</x:t>
  </x:si>
  <x:si>
    <x:t xml:space="preserve">Puglia</x:t>
  </x:si>
  <x:si>
    <x:t xml:space="preserve">Basilicata</x:t>
  </x:si>
  <x:si>
    <x:t xml:space="preserve">Calabria</x:t>
  </x:si>
  <x:si>
    <x:t xml:space="preserve">Sicilia</x:t>
  </x:si>
  <x:si>
    <x:t xml:space="preserve">Sardegna</x:t>
  </x:si>
  <x:si>
    <x:t xml:space="preserve">TOTALI</x:t>
  </x:si>
  <x:si>
    <x:t xml:space="preserve">SCENARIO REGIONALE / FORMULE</x:t>
  </x:si>
  <x:si>
    <x:t xml:space="preserve">Calcolo dinamico dalle basi; scenario non validato e modello semplice storico a parità di S nazionale</x:t>
  </x:si>
  <x:si>
    <x:t xml:space="preserve">q validi</x:t>
  </x:si>
  <x:si>
    <x:t xml:space="preserve">f flussi</x:t>
  </x:si>
  <x:si>
    <x:t xml:space="preserve">v preferenze</x:t>
  </x:si>
  <x:si>
    <x:t xml:space="preserve">s iscritti</x:t>
  </x:si>
  <x:si>
    <x:t xml:space="preserve">m istituzioni</x:t>
  </x:si>
  <x:si>
    <x:t xml:space="preserve">p miscela</x:t>
  </x:si>
  <x:si>
    <x:t xml:space="preserve">w</x:t>
  </x:si>
  <x:si>
    <x:t xml:space="preserve">Quota regionale</x:t>
  </x:si>
  <x:si>
    <x:t xml:space="preserve">p modello semplice</x:t>
  </x:si>
  <x:si>
    <x:t xml:space="preserve">Quota bench.</x:t>
  </x:si>
  <x:si>
    <x:t xml:space="preserve">Voti stimati</x:t>
  </x:si>
  <x:si>
    <x:t xml:space="preserve">H contributo</x:t>
  </x:si>
  <x:si>
    <x:t xml:space="preserve">JS contributo</x:t>
  </x:si>
  <x:si>
    <x:t xml:space="preserve">SENSIBILITÀ / SCHEMI DI PESI E FORBICI MONTE CARLO</x:t>
  </x:si>
  <x:si>
    <x:t xml:space="preserve">Colonne B, C, F–H e J–N: formule (si aggiornano). Colonne D–E: forbici Monte Carlo dello script al 18/10/2026 (20.000 simulazioni, seme 42), valori fissi.</x:t>
  </x:si>
  <x:si>
    <x:t xml:space="preserve">Scenario</x:t>
  </x:si>
  <x:si>
    <x:t xml:space="preserve">P10 MC (script 18/10)</x:t>
  </x:si>
  <x:si>
    <x:t xml:space="preserve">P90 MC (script 18/10)</x:t>
  </x:si>
  <x:si>
    <x:t xml:space="preserve">Min schemi</x:t>
  </x:si>
  <x:si>
    <x:t xml:space="preserve">Max schemi</x:t>
  </x:si>
  <x:si>
    <x:t xml:space="preserve">Differenza dal modello semplice (punti)</x:t>
  </x:si>
  <x:si>
    <x:t xml:space="preserve">Pesi uguali</x:t>
  </x:si>
  <x:si>
    <x:t xml:space="preserve">Senza istituzioni</x:t>
  </x:si>
  <x:si>
    <x:t xml:space="preserve">Solo flussi</x:t>
  </x:si>
  <x:si>
    <x:t xml:space="preserve">Flussi + preferenze</x:t>
  </x:si>
  <x:si>
    <x:t xml:space="preserve">Senza preferenze</x:t>
  </x:si>
  <x:si>
    <x:t xml:space="preserve">H scenario per schema</x:t>
  </x:si>
  <x:si>
    <x:t xml:space="preserve">SCHEMI DI PESI ALTERNATIVI (modificabili)</x:t>
  </x:si>
  <x:si>
    <x:t xml:space="preserve">Schema</x:t>
  </x:si>
  <x:si>
    <x:t xml:space="preserve">Flussi</x:t>
  </x:si>
  <x:si>
    <x:t xml:space="preserve">Istituzioni</x:t>
  </x:si>
  <x:si>
    <x:t xml:space="preserve">Le forbici Monte Carlo (D–E) misurano la sensibilità alle ipotesi, non la probabilità di un risultato. Per ricalcolarle con nuovi dati: modificare config_v3_1.json e rilanciare modello_fn_v3_1.py.</x:t>
  </x:si>
  <x:si>
    <x:t xml:space="preserve">VALUTAZIONE PREDITTIVA / PREVISIONI CONGELATE</x:t>
  </x:si>
  <x:si>
    <x:t xml:space="preserve">Inserire SOLO nelle colonne D–E i voti validi e i voti FN di un voto comparabile, per tutte le 20 regioni. Colonne B–C: stime congelate al 18/10/2026, non modificare.</x:t>
  </x:si>
  <x:si>
    <x:t xml:space="preserve">Modello congelato</x:t>
  </x:si>
  <x:si>
    <x:t xml:space="preserve">Mod. semplice congelato</x:t>
  </x:si>
  <x:si>
    <x:t xml:space="preserve">Validi esito</x:t>
  </x:si>
  <x:si>
    <x:t xml:space="preserve">Voti FN esito</x:t>
  </x:si>
  <x:si>
    <x:t xml:space="preserve">% FN osservata</x:t>
  </x:si>
  <x:si>
    <x:t xml:space="preserve">Peso attuale</x:t>
  </x:si>
  <x:si>
    <x:t xml:space="preserve">Errore Mod. pt</x:t>
  </x:si>
  <x:si>
    <x:t xml:space="preserve">Errore bench pt</x:t>
  </x:si>
  <x:si>
    <x:t xml:space="preserve">Contributo Mod.</x:t>
  </x:si>
  <x:si>
    <x:t xml:space="preserve">Contributo Mod. semplice</x:t>
  </x:si>
  <x:si>
    <x:t xml:space="preserve">In banda MC?</x:t>
  </x:si>
  <x:si>
    <x:t xml:space="preserve">VALUTAZIONE</x:t>
  </x:si>
  <x:si>
    <x:t xml:space="preserve">ESITO</x:t>
  </x:si>
  <x:si>
    <x:t xml:space="preserve">WMAE modello (punti)</x:t>
  </x:si>
  <x:si>
    <x:t xml:space="preserve">WMAE modello semplice (punti)</x:t>
  </x:si>
  <x:si>
    <x:t xml:space="preserve">Skill relativo</x:t>
  </x:si>
  <x:si>
    <x:t xml:space="preserve">Copertura bande</x:t>
  </x:si>
  <x:si>
    <x:t xml:space="preserve">Lettura: skill &gt; 0 = il modello a 4 basi sbaglia meno del modello semplice. La copertura indica in quante regioni il risultato cade nella forbice congelata (non è una probabilità). Per la scomposizione nazionale/geografica usare lo script con --esiti.</x:t>
  </x:si>
  <x:si>
    <x:t xml:space="preserve">SERIE MENSILE / ISCRITTI UFFICIALI</x:t>
  </x:si>
  <x:si>
    <x:t xml:space="preserve">Prima rilevazione 10/2026. Aggiornare per tutte le 20 regioni; non sostituire il passato</x:t>
  </x:si>
  <x:si>
    <x:t xml:space="preserve">10/2026</x:t>
  </x:si>
  <x:si>
    <x:t xml:space="preserve">11/2026</x:t>
  </x:si>
  <x:si>
    <x:t xml:space="preserve">12/2026</x:t>
  </x:si>
  <x:si>
    <x:t xml:space="preserve">01/2027</x:t>
  </x:si>
  <x:si>
    <x:t xml:space="preserve">02/2027</x:t>
  </x:si>
  <x:si>
    <x:t xml:space="preserve">03/2027</x:t>
  </x:si>
  <x:si>
    <x:t xml:space="preserve">04/2027</x:t>
  </x:si>
  <x:si>
    <x:t xml:space="preserve">05/2027</x:t>
  </x:si>
  <x:si>
    <x:t xml:space="preserve">06/2027</x:t>
  </x:si>
  <x:si>
    <x:t xml:space="preserve">07/2027</x:t>
  </x:si>
  <x:si>
    <x:t xml:space="preserve">08/2027</x:t>
  </x:si>
  <x:si>
    <x:t xml:space="preserve">09/2027</x:t>
  </x:si>
  <x:si>
    <x:t xml:space="preserve">10/2027</x:t>
  </x:si>
  <x:si>
    <x:t xml:space="preserve">QUOTE MENSILI / 20 REGIONI</x:t>
  </x:si>
  <x:si>
    <x:t xml:space="preserve">Quote calcolate solo con tutte le 20 regioni presenti nel mese</x:t>
  </x:si>
  <x:si>
    <x:t xml:space="preserve">CONTRIBUTI ENTROPICI / SERIE TEMPORALE</x:t>
  </x:si>
  <x:si>
    <x:t xml:space="preserve">H=-somma quota*ln(quota) / ln(20); campioni mensili completi</x:t>
  </x:si>
  <x:si>
    <x:t xml:space="preserve">EVOLUZIONE H / DA OTTOBRE 2026</x:t>
  </x:si>
  <x:si>
    <x:t xml:space="preserve">Mese</x:t>
  </x:si>
  <x:si>
    <x:t xml:space="preserve">Totale regionalizzato</x:t>
  </x:si>
  <x:si>
    <x:t xml:space="preserve">H iscritti</x:t>
  </x:si>
  <x:si>
    <x:t xml:space="preserve">Delta H</x:t>
  </x:si>
  <x:si>
    <x:t xml:space="preserve">Stato</x:t>
  </x:si>
  <x:si>
    <x:t xml:space="preserve">FONTI E LIMITI / CATENA DELLE PROVE</x:t>
  </x:si>
  <x:si>
    <x:t xml:space="preserve">Origine e assunzioni: nessuna dichiarazione di accuratezza predittiva prima del voto</x:t>
  </x:si>
  <x:si>
    <x:t xml:space="preserve">Dato</x:t>
  </x:si>
  <x:si>
    <x:t xml:space="preserve">Categoria</x:t>
  </x:si>
  <x:si>
    <x:t xml:space="preserve">Provenienza</x:t>
  </x:si>
  <x:si>
    <x:t xml:space="preserve">Limite</x:t>
  </x:si>
  <x:si>
    <x:t xml:space="preserve">Voti 2024</x:t>
  </x:si>
  <x:si>
    <x:t xml:space="preserve">Pubblico - trascritto</x:t>
  </x:si>
  <x:si>
    <x:t xml:space="preserve">eu2024.json (da fonti pubbliche)</x:t>
  </x:si>
  <x:si>
    <x:t xml:space="preserve">Da riconciliare con Eligendo</x:t>
  </x:si>
  <x:si>
    <x:t xml:space="preserve">Iscritti 158.320</x:t>
  </x:si>
  <x:si>
    <x:t xml:space="preserve">Ufficiale partito comunicato</x:t>
  </x:si>
  <x:si>
    <x:t xml:space="preserve">Forniti al committente, ottobre 2026</x:t>
  </x:si>
  <x:si>
    <x:t xml:space="preserve">1.864 non regionalizzati</x:t>
  </x:si>
  <x:si>
    <x:t xml:space="preserve">Preferenze Vannacci</x:t>
  </x:si>
  <x:si>
    <x:t xml:space="preserve">Misto osservato / ricostruito</x:t>
  </x:si>
  <x:si>
    <x:t xml:space="preserve">2 regioni osservate, 18 ripartite dalla circoscrizione</x:t>
  </x:si>
  <x:si>
    <x:t xml:space="preserve">Non sono tutte regionali osservate</x:t>
  </x:si>
  <x:si>
    <x:t xml:space="preserve">Cariche 38</x:t>
  </x:si>
  <x:si>
    <x:t xml:space="preserve">Pubblico/stampa</x:t>
  </x:si>
  <x:si>
    <x:t xml:space="preserve">Censimento non esaustivo</x:t>
  </x:si>
  <x:si>
    <x:t xml:space="preserve">Pesi arbitrari 5/3/2/1</x:t>
  </x:si>
  <x:si>
    <x:t xml:space="preserve">Sondaggio 7,2%</x:t>
  </x:si>
  <x:si>
    <x:t xml:space="preserve">Sondaggio nazionale</x:t>
  </x:si>
  <x:si>
    <x:t xml:space="preserve">YouTrend/AGI datata 15/10/2026</x:t>
  </x:si>
  <x:si>
    <x:t xml:space="preserve">Non misura quote FN regionali</x:t>
  </x:si>
  <x:si>
    <x:t xml:space="preserve">Astenuti regionali</x:t>
  </x:si>
  <x:si>
    <x:t xml:space="preserve">Ricostruito</x:t>
  </x:si>
  <x:si>
    <x:t xml:space="preserve">Affluenza % e rapporto validi/votanti nazionale</x:t>
  </x:si>
  <x:si>
    <x:t xml:space="preserve">Non è il conteggio regionale ufficiale</x:t>
  </x:si>
  <x:si>
    <x:t xml:space="preserve">Dirichlet e MC</x:t>
  </x:si>
  <x:si>
    <x:t xml:space="preserve">Ipotesi statistica</x:t>
  </x:si>
  <x:si>
    <x:t xml:space="preserve">Seme 42, 20.000 simulazioni</x:t>
  </x:si>
  <x:si>
    <x:t xml:space="preserve">Nessuna garanzia di copertura dell’80%</x:t>
  </x:si>
  <x:si>
    <x:t xml:space="preserve">Skill predittivo</x:t>
  </x:si>
  <x:si>
    <x:t xml:space="preserve">Non disponibile</x:t>
  </x:si>
  <x:si>
    <x:t xml:space="preserve">Occorre voto di lista FN di tutte le regioni</x:t>
  </x:si>
  <x:si>
    <x:t xml:space="preserve">Non calcolabile dai dati 2024</x:t>
  </x:si>
</x:sst>
</file>

<file path=xl/styles.xml><?xml version="1.0" encoding="utf-8"?>
<x:styleSheet xmlns:x="http://schemas.openxmlformats.org/spreadsheetml/2006/main">
  <x:numFmts count="14">
    <x:numFmt numFmtId="164" formatCode="General"/>
    <x:numFmt numFmtId="165" formatCode="0.0%"/>
    <x:numFmt numFmtId="166" formatCode="#,##0"/>
    <x:numFmt numFmtId="167" formatCode="0"/>
    <x:numFmt numFmtId="168" formatCode="@"/>
    <x:numFmt numFmtId="169" formatCode="0.0000"/>
    <x:numFmt numFmtId="170" formatCode="0.00000"/>
    <x:numFmt numFmtId="171" formatCode="0.00"/>
    <x:numFmt numFmtId="172" formatCode="0%"/>
    <x:numFmt numFmtId="173" formatCode="0.0000%"/>
    <x:numFmt numFmtId="174" formatCode="0.00%"/>
    <x:numFmt numFmtId="175" formatCode="\+0.0;\-0.0;0.0"/>
    <x:numFmt numFmtId="176" formatCode="0.000"/>
    <x:numFmt numFmtId="177" formatCode="0.000000"/>
  </x:numFmts>
  <x:fonts count="16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Calibri"/>
    </x:font>
    <x:font>
      <x:i/>
      <x:sz val="11"/>
      <x:name val="Calibri"/>
    </x:font>
    <x:font>
      <x:sz val="11"/>
      <x:name val="Calibri"/>
    </x:font>
    <x:font>
      <x:b/>
      <x:sz val="12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11"/>
      <x:name val="Calibri"/>
    </x:font>
    <x:font>
      <x:i/>
      <x:sz val="10"/>
      <x:color rgb="FF6B7280"/>
      <x:name val="Calibri"/>
    </x:font>
    <x:font>
      <x:b/>
      <x:sz val="11"/>
      <x:color rgb="FF132842"/>
      <x:name val="Calibri"/>
    </x:font>
    <x:font>
      <x:i/>
      <x:sz val="11"/>
      <x:color rgb="FF6B7280"/>
      <x:name val="Calibri"/>
    </x:font>
    <x:font>
      <x:b/>
      <x:sz val="11"/>
      <x:color rgb="FFFFFFFF"/>
      <x:name val="Calibri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32842"/>
      </x:patternFill>
    </x:fill>
    <x:fill>
      <x:patternFill patternType="solid">
        <x:fgColor rgb="FFE6EDF3"/>
      </x:patternFill>
    </x:fill>
    <x:fill>
      <x:patternFill patternType="solid">
        <x:fgColor rgb="FF006F78"/>
      </x:patternFill>
    </x:fill>
    <x:fill>
      <x:patternFill patternType="solid">
        <x:fgColor rgb="FFFFF1D2"/>
      </x:patternFill>
    </x:fill>
    <x:fill>
      <x:patternFill patternType="solid">
        <x:fgColor rgb="FF152942"/>
      </x:patternFill>
    </x:fill>
    <x:fill>
      <x:patternFill patternType="solid">
        <x:fgColor rgb="FF25717A"/>
      </x:patternFill>
    </x:fill>
    <x:fill>
      <x:patternFill patternType="solid">
        <x:fgColor rgb="FF152942"/>
      </x:patternFill>
    </x:fill>
    <x:fill>
      <x:patternFill patternType="solid">
        <x:fgColor rgb="FF25717A"/>
      </x:patternFill>
    </x:fill>
  </x:fills>
  <x:borders count="2">
    <x:border diagonalUp="0" diagonalDown="0"/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3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top" wrapText="1"/>
    </x:xf>
    <x:xf numFmtId="164" fontId="5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0" fillId="0" borderId="0" xfId="0" applyFont="0" applyBorder="0" applyAlignment="1">
      <x:alignment horizontal="general" vertical="bottom" wrapText="0"/>
    </x:xf>
    <x:xf numFmtId="164" fontId="8" fillId="2" borderId="0" xfId="0" applyFont="1" applyBorder="1" applyAlignment="1">
      <x:alignment horizontal="general" vertical="bottom" wrapText="0"/>
    </x:xf>
    <x:xf numFmtId="164" fontId="6" fillId="3" borderId="0" xfId="0" applyFont="1" applyBorder="1" applyAlignment="1">
      <x:alignment horizontal="general" vertical="bottom" wrapText="0"/>
    </x:xf>
    <x:xf numFmtId="164" fontId="9" fillId="4" borderId="0" xfId="0" applyFont="1" applyBorder="0" applyAlignment="1">
      <x:alignment horizontal="general" vertical="bottom" wrapText="1"/>
    </x:xf>
    <x:xf numFmtId="164" fontId="6" fillId="0" borderId="0" xfId="0" applyFont="1" applyBorder="0" applyAlignment="1">
      <x:alignment horizontal="general" vertical="bottom" wrapText="0"/>
    </x:xf>
    <x:xf numFmtId="165" fontId="10" fillId="0" borderId="0" xfId="0" applyFont="1" applyBorder="0" applyAlignment="1">
      <x:alignment horizontal="general" vertical="bottom" wrapText="0"/>
    </x:xf>
    <x:xf numFmtId="164" fontId="11" fillId="0" borderId="0" xfId="0" applyFont="1" applyBorder="0" applyAlignment="0">
      <x:alignment horizontal="general" vertical="bottom" wrapText="0"/>
    </x:xf>
    <x:xf numFmtId="166" fontId="10" fillId="0" borderId="0" xfId="0" applyFont="1" applyBorder="0" applyAlignment="1">
      <x:alignment horizontal="general" vertical="bottom" wrapText="0"/>
    </x:xf>
    <x:xf numFmtId="167" fontId="10" fillId="0" borderId="0" xfId="0" applyFont="1" applyBorder="0" applyAlignment="1">
      <x:alignment horizontal="general" vertical="bottom" wrapText="0"/>
    </x:xf>
    <x:xf numFmtId="168" fontId="10" fillId="0" borderId="0" xfId="0" applyFont="1" applyBorder="0" applyAlignment="1">
      <x:alignment horizontal="general" vertical="bottom" wrapText="0"/>
    </x:xf>
    <x:xf numFmtId="169" fontId="10" fillId="0" borderId="0" xfId="0" applyFont="1" applyBorder="0" applyAlignment="1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9" fontId="10" fillId="0" borderId="0" xfId="0" applyFont="1" applyBorder="0" applyAlignment="0">
      <x:alignment horizontal="general" vertical="bottom" wrapText="0"/>
    </x:xf>
    <x:xf numFmtId="164" fontId="6" fillId="2" borderId="0" xfId="0" applyFont="1" applyBorder="0" applyAlignment="1">
      <x:alignment horizontal="general" vertical="bottom" wrapText="0"/>
    </x:xf>
    <x:xf numFmtId="169" fontId="10" fillId="2" borderId="0" xfId="0" applyFont="1" applyBorder="0" applyAlignment="1">
      <x:alignment horizontal="general" vertical="bottom" wrapText="0"/>
    </x:xf>
    <x:xf numFmtId="170" fontId="10" fillId="0" borderId="0" xfId="0" applyFont="1" applyBorder="0" applyAlignment="1">
      <x:alignment horizontal="general" vertical="bottom" wrapText="0"/>
    </x:xf>
    <x:xf numFmtId="171" fontId="10" fillId="0" borderId="0" xfId="0" applyFont="1" applyBorder="0" applyAlignment="1">
      <x:alignment horizontal="general" vertical="bottom" wrapText="0"/>
    </x:xf>
    <x:xf numFmtId="172" fontId="10" fillId="0" borderId="0" xfId="0" applyFont="1" applyBorder="0" applyAlignment="1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10" fillId="0" borderId="0" xfId="0" applyFont="1" applyBorder="0" applyAlignment="0">
      <x:alignment horizontal="general" vertical="bottom" wrapText="0"/>
    </x:xf>
    <x:xf numFmtId="165" fontId="6" fillId="5" borderId="0" xfId="0" applyFont="1" applyBorder="0" applyAlignment="1">
      <x:alignment horizontal="general" vertical="bottom" wrapText="0"/>
    </x:xf>
    <x:xf numFmtId="165" fontId="6" fillId="0" borderId="0" xfId="0" applyFont="1" applyBorder="0" applyAlignment="1">
      <x:alignment horizontal="general" vertical="bottom" wrapText="0"/>
    </x:xf>
    <x:xf numFmtId="171" fontId="0" fillId="0" borderId="0" xfId="0" applyFont="0" applyBorder="0" applyAlignment="1">
      <x:alignment horizontal="general" vertical="bottom" wrapText="0"/>
    </x:xf>
    <x:xf numFmtId="164" fontId="0" fillId="0" borderId="0" xfId="0" applyFont="1" applyBorder="0" applyAlignment="0">
      <x:alignment horizontal="general" vertical="bottom" wrapText="0"/>
    </x:xf>
    <x:xf numFmtId="164" fontId="6" fillId="5" borderId="0" xfId="0" applyFont="1" applyBorder="0" applyAlignment="1">
      <x:alignment horizontal="general" vertical="bottom" wrapText="0"/>
    </x:xf>
    <x:xf numFmtId="164" fontId="12" fillId="3" borderId="0" xfId="0" applyFont="1" applyBorder="0" applyAlignment="1">
      <x:alignment horizontal="general" vertical="bottom" wrapText="0"/>
    </x:xf>
    <x:xf numFmtId="173" fontId="6" fillId="0" borderId="0" xfId="0" applyFont="1" applyBorder="0" applyAlignment="1">
      <x:alignment horizontal="general" vertical="bottom" wrapText="0"/>
    </x:xf>
    <x:xf numFmtId="166" fontId="6" fillId="0" borderId="0" xfId="0" applyFont="1" applyBorder="0" applyAlignment="1">
      <x:alignment horizontal="general" vertical="bottom" wrapText="0"/>
    </x:xf>
    <x:xf numFmtId="173" fontId="12" fillId="3" borderId="0" xfId="0" applyFont="1" applyBorder="0" applyAlignment="1">
      <x:alignment horizontal="general" vertical="bottom" wrapText="0"/>
    </x:xf>
    <x:xf numFmtId="174" fontId="12" fillId="3" borderId="0" xfId="0" applyFont="1" applyBorder="0" applyAlignment="1">
      <x:alignment horizontal="general" vertical="bottom" wrapText="0"/>
    </x:xf>
    <x:xf numFmtId="166" fontId="12" fillId="3" borderId="0" xfId="0" applyFont="1" applyBorder="0" applyAlignment="1">
      <x:alignment horizontal="general" vertical="bottom" wrapText="0"/>
    </x:xf>
    <x:xf numFmtId="175" fontId="0" fillId="0" borderId="0" xfId="0" applyFont="0" applyBorder="0" applyAlignment="1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76" fontId="0" fillId="0" borderId="0" xfId="0" applyFont="0" applyBorder="0" applyAlignment="0">
      <x:alignment horizontal="general" vertical="bottom" wrapText="0"/>
    </x:xf>
    <x:xf numFmtId="172" fontId="0" fillId="5" borderId="0" xfId="0" applyFont="0" applyBorder="0" applyAlignment="0">
      <x:alignment horizontal="general" vertical="bottom" wrapText="0"/>
    </x:xf>
    <x:xf numFmtId="164" fontId="13" fillId="0" borderId="0" xfId="0" applyFont="1" applyBorder="0" applyAlignment="0">
      <x:alignment horizontal="general" vertical="bottom" wrapText="0"/>
    </x:xf>
    <x:xf numFmtId="164" fontId="14" fillId="4" borderId="0" xfId="0" applyFont="1" applyBorder="0" applyAlignment="1">
      <x:alignment horizontal="general" vertical="bottom" wrapText="0"/>
    </x:xf>
    <x:xf numFmtId="177" fontId="6" fillId="0" borderId="0" xfId="0" applyFont="1" applyBorder="0" applyAlignment="1">
      <x:alignment horizontal="general" vertical="bottom" wrapText="0"/>
    </x:xf>
    <x:xf numFmtId="164" fontId="6" fillId="0" borderId="0" xfId="0" applyFont="1" applyBorder="0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4" fillId="0" borderId="1" xfId="0" applyNumberFormat="1" applyFont="1" applyFill="1" applyBorder="1" applyAlignment="1">
      <x:alignment horizontal="general" vertical="top" wrapText="1"/>
    </x:xf>
    <x:xf numFmtId="164" fontId="5" fillId="0" borderId="1" xfId="0" applyNumberFormat="1" applyFont="1" applyFill="1" applyBorder="1" applyAlignment="1">
      <x:alignment horizontal="general" vertical="top" wrapText="1"/>
    </x:xf>
    <x:xf numFmtId="164" fontId="6" fillId="0" borderId="1" xfId="0" applyNumberFormat="1" applyFont="1" applyFill="1" applyBorder="1" applyAlignment="1">
      <x:alignment horizontal="general" vertical="top" wrapText="1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8" fillId="2" borderId="1" xfId="0" applyNumberFormat="1" applyFont="1" applyFill="1" applyBorder="1" applyAlignment="1">
      <x:alignment horizontal="general" vertical="bottom" wrapText="0"/>
    </x:xf>
    <x:xf numFmtId="164" fontId="6" fillId="3" borderId="1" xfId="0" applyNumberFormat="1" applyFont="1" applyFill="1" applyBorder="1" applyAlignment="1">
      <x:alignment horizontal="general" vertical="bottom" wrapText="0"/>
    </x:xf>
    <x:xf numFmtId="164" fontId="9" fillId="4" borderId="1" xfId="0" applyNumberFormat="1" applyFont="1" applyFill="1" applyBorder="1" applyAlignment="1">
      <x:alignment horizontal="general" vertical="bottom" wrapText="1"/>
    </x:xf>
    <x:xf numFmtId="164" fontId="6" fillId="0" borderId="1" xfId="0" applyNumberFormat="1" applyFont="1" applyFill="1" applyBorder="1" applyAlignment="1">
      <x:alignment horizontal="general" vertical="bottom" wrapText="0"/>
    </x:xf>
    <x:xf numFmtId="165" fontId="10" fillId="0" borderId="1" xfId="0" applyNumberFormat="1" applyFont="1" applyFill="1" applyBorder="1" applyAlignment="1">
      <x:alignment horizontal="general" vertical="bottom" wrapText="0"/>
    </x:xf>
    <x:xf numFmtId="164" fontId="11" fillId="0" borderId="1" xfId="0" applyNumberFormat="1" applyFont="1" applyFill="1" applyBorder="1" applyAlignment="1">
      <x:alignment horizontal="general" vertical="bottom" wrapText="0"/>
    </x:xf>
    <x:xf numFmtId="166" fontId="10" fillId="0" borderId="1" xfId="0" applyNumberFormat="1" applyFont="1" applyFill="1" applyBorder="1" applyAlignment="1">
      <x:alignment horizontal="general" vertical="bottom" wrapText="0"/>
    </x:xf>
    <x:xf numFmtId="167" fontId="10" fillId="0" borderId="1" xfId="0" applyNumberFormat="1" applyFont="1" applyFill="1" applyBorder="1" applyAlignment="1">
      <x:alignment horizontal="general" vertical="bottom" wrapText="0"/>
    </x:xf>
    <x:xf numFmtId="168" fontId="10" fillId="0" borderId="1" xfId="0" applyNumberFormat="1" applyFont="1" applyFill="1" applyBorder="1" applyAlignment="1">
      <x:alignment horizontal="general" vertical="bottom" wrapText="0"/>
    </x:xf>
    <x:xf numFmtId="169" fontId="10" fillId="0" borderId="1" xfId="0" applyNumberFormat="1" applyFont="1" applyFill="1" applyBorder="1" applyAlignment="1">
      <x:alignment horizontal="general" vertical="bottom" wrapText="0"/>
    </x:xf>
    <x:xf numFmtId="164" fontId="6" fillId="2" borderId="1" xfId="0" applyNumberFormat="1" applyFont="1" applyFill="1" applyBorder="1" applyAlignment="1">
      <x:alignment horizontal="general" vertical="bottom" wrapText="0"/>
    </x:xf>
    <x:xf numFmtId="169" fontId="10" fillId="2" borderId="1" xfId="0" applyNumberFormat="1" applyFont="1" applyFill="1" applyBorder="1" applyAlignment="1">
      <x:alignment horizontal="general" vertical="bottom" wrapText="0"/>
    </x:xf>
    <x:xf numFmtId="170" fontId="10" fillId="0" borderId="1" xfId="0" applyNumberFormat="1" applyFont="1" applyFill="1" applyBorder="1" applyAlignment="1">
      <x:alignment horizontal="general" vertical="bottom" wrapText="0"/>
    </x:xf>
    <x:xf numFmtId="171" fontId="10" fillId="0" borderId="1" xfId="0" applyNumberFormat="1" applyFont="1" applyFill="1" applyBorder="1" applyAlignment="1">
      <x:alignment horizontal="general" vertical="bottom" wrapText="0"/>
    </x:xf>
    <x:xf numFmtId="172" fontId="10" fillId="0" borderId="1" xfId="0" applyNumberFormat="1" applyFont="1" applyFill="1" applyBorder="1" applyAlignment="1">
      <x:alignment horizontal="general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10" fillId="0" borderId="1" xfId="0" applyNumberFormat="1" applyFont="1" applyFill="1" applyBorder="1" applyAlignment="1">
      <x:alignment horizontal="general" vertical="bottom" wrapText="0"/>
    </x:xf>
    <x:xf numFmtId="165" fontId="6" fillId="5" borderId="1" xfId="0" applyNumberFormat="1" applyFont="1" applyFill="1" applyBorder="1" applyAlignment="1">
      <x:alignment horizontal="general" vertical="bottom" wrapText="0"/>
    </x:xf>
    <x:xf numFmtId="165" fontId="6" fillId="0" borderId="1" xfId="0" applyNumberFormat="1" applyFont="1" applyFill="1" applyBorder="1" applyAlignment="1">
      <x:alignment horizontal="general" vertical="bottom" wrapText="0"/>
    </x:xf>
    <x:xf numFmtId="171" fontId="0" fillId="0" borderId="1" xfId="0" applyNumberFormat="1" applyFont="1" applyFill="1" applyBorder="1" applyAlignment="1">
      <x:alignment horizontal="general" vertical="bottom" wrapText="0"/>
    </x:xf>
    <x:xf numFmtId="164" fontId="6" fillId="5" borderId="1" xfId="0" applyNumberFormat="1" applyFont="1" applyFill="1" applyBorder="1" applyAlignment="1">
      <x:alignment horizontal="general" vertical="bottom" wrapText="0"/>
    </x:xf>
    <x:xf numFmtId="164" fontId="12" fillId="3" borderId="1" xfId="0" applyNumberFormat="1" applyFont="1" applyFill="1" applyBorder="1" applyAlignment="1">
      <x:alignment horizontal="general" vertical="bottom" wrapText="0"/>
    </x:xf>
    <x:xf numFmtId="173" fontId="6" fillId="0" borderId="1" xfId="0" applyNumberFormat="1" applyFont="1" applyFill="1" applyBorder="1" applyAlignment="1">
      <x:alignment horizontal="general" vertical="bottom" wrapText="0"/>
    </x:xf>
    <x:xf numFmtId="166" fontId="6" fillId="0" borderId="1" xfId="0" applyNumberFormat="1" applyFont="1" applyFill="1" applyBorder="1" applyAlignment="1">
      <x:alignment horizontal="general" vertical="bottom" wrapText="0"/>
    </x:xf>
    <x:xf numFmtId="173" fontId="12" fillId="3" borderId="1" xfId="0" applyNumberFormat="1" applyFont="1" applyFill="1" applyBorder="1" applyAlignment="1">
      <x:alignment horizontal="general" vertical="bottom" wrapText="0"/>
    </x:xf>
    <x:xf numFmtId="174" fontId="12" fillId="3" borderId="1" xfId="0" applyNumberFormat="1" applyFont="1" applyFill="1" applyBorder="1" applyAlignment="1">
      <x:alignment horizontal="general" vertical="bottom" wrapText="0"/>
    </x:xf>
    <x:xf numFmtId="166" fontId="12" fillId="3" borderId="1" xfId="0" applyNumberFormat="1" applyFont="1" applyFill="1" applyBorder="1" applyAlignment="1">
      <x:alignment horizontal="general" vertical="bottom" wrapText="0"/>
    </x:xf>
    <x:xf numFmtId="175" fontId="0" fillId="0" borderId="1" xfId="0" applyNumberFormat="1" applyFont="1" applyFill="1" applyBorder="1" applyAlignment="1">
      <x:alignment horizontal="general" vertical="bottom" wrapText="0"/>
    </x:xf>
    <x:xf numFmtId="165" fontId="0" fillId="0" borderId="1" xfId="0" applyNumberFormat="1" applyFont="1" applyFill="1" applyBorder="1" applyAlignment="1">
      <x:alignment horizontal="general" vertical="bottom" wrapText="0"/>
    </x:xf>
    <x:xf numFmtId="176" fontId="0" fillId="0" borderId="1" xfId="0" applyNumberFormat="1" applyFont="1" applyFill="1" applyBorder="1" applyAlignment="1">
      <x:alignment horizontal="general" vertical="bottom" wrapText="0"/>
    </x:xf>
    <x:xf numFmtId="172" fontId="0" fillId="5" borderId="1" xfId="0" applyNumberFormat="1" applyFont="1" applyFill="1" applyBorder="1" applyAlignment="1">
      <x:alignment horizontal="general" vertical="bottom" wrapText="0"/>
    </x:xf>
    <x:xf numFmtId="164" fontId="13" fillId="0" borderId="1" xfId="0" applyNumberFormat="1" applyFont="1" applyFill="1" applyBorder="1" applyAlignment="1">
      <x:alignment horizontal="general" vertical="bottom" wrapText="0"/>
    </x:xf>
    <x:xf numFmtId="164" fontId="14" fillId="4" borderId="1" xfId="0" applyNumberFormat="1" applyFont="1" applyFill="1" applyBorder="1" applyAlignment="1">
      <x:alignment horizontal="general" vertical="bottom" wrapText="0"/>
    </x:xf>
    <x:xf numFmtId="177" fontId="6" fillId="0" borderId="1" xfId="0" applyNumberFormat="1" applyFont="1" applyFill="1" applyBorder="1" applyAlignment="1">
      <x:alignment horizontal="general" vertical="bottom" wrapText="0"/>
    </x:xf>
    <x:xf numFmtId="164" fontId="6" fillId="0" borderId="1" xfId="0" applyNumberFormat="1" applyFont="1" applyFill="1" applyBorder="1" applyAlignment="1">
      <x:alignment horizontal="general" vertical="bottom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bottom" wrapText="0"/>
    </x:xf>
    <x:xf numFmtId="164" fontId="0" fillId="6" borderId="1" xfId="0" applyNumberFormat="1" applyFont="1" applyFill="1" applyBorder="1" applyAlignment="1">
      <x:alignment horizontal="general" vertical="bottom" wrapText="0"/>
    </x:xf>
    <x:xf numFmtId="164" fontId="15" fillId="6" borderId="1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5" fillId="7" borderId="0" xfId="0" applyNumberFormat="1" applyFont="1" applyFill="1" applyBorder="1" applyAlignment="1">
      <x:alignment horizontal="general" vertical="bottom" wrapText="0"/>
    </x:xf>
    <x:xf numFmtId="164" fontId="0" fillId="7" borderId="1" xfId="0" applyNumberFormat="1" applyFont="1" applyFill="1" applyBorder="1" applyAlignment="1">
      <x:alignment horizontal="general" vertical="bottom" wrapText="0"/>
    </x:xf>
    <x:xf numFmtId="164" fontId="15" fillId="7" borderId="1" xfId="0" applyNumberFormat="1" applyFont="1" applyFill="1" applyBorder="1" applyAlignment="1">
      <x:alignment horizontal="general" vertical="bottom" wrapText="0"/>
    </x:xf>
    <x:xf numFmtId="177" fontId="0" fillId="0" borderId="0" xfId="0" applyNumberFormat="1" applyFont="1" applyFill="1" applyBorder="1" applyAlignment="1">
      <x:alignment horizontal="general" vertical="bottom" wrapText="0"/>
    </x:xf>
    <x:xf numFmtId="177" fontId="0" fillId="0" borderId="1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top" wrapText="1"/>
    </x:xf>
    <x:xf numFmtId="164" fontId="5" fillId="0" borderId="0" xfId="0" applyNumberFormat="1" applyFont="1" applyFill="1" applyBorder="1" applyAlignment="1">
      <x:alignment horizontal="general" vertical="top" wrapText="1"/>
    </x:xf>
    <x:xf numFmtId="164" fontId="6" fillId="0" borderId="0" xfId="0" applyNumberFormat="1" applyFont="1" applyFill="1" applyBorder="1" applyAlignment="1">
      <x:alignment horizontal="general" vertical="top" wrapText="1"/>
    </x:xf>
    <x:xf numFmtId="164" fontId="7" fillId="0" borderId="0" xfId="0" applyNumberFormat="1" applyFont="1" applyFill="1" applyBorder="1" applyAlignment="1">
      <x:alignment horizontal="general" vertical="top" wrapText="1"/>
    </x:xf>
    <x:xf numFmtId="164" fontId="8" fillId="2" borderId="0" xfId="0" applyNumberFormat="1" applyFont="1" applyFill="1" applyBorder="1" applyAlignment="1">
      <x:alignment horizontal="general" vertical="bottom" wrapText="0"/>
    </x:xf>
    <x:xf numFmtId="164" fontId="6" fillId="3" borderId="0" xfId="0" applyNumberFormat="1" applyFont="1" applyFill="1" applyBorder="1" applyAlignment="1">
      <x:alignment horizontal="general" vertical="bottom" wrapText="0"/>
    </x:xf>
    <x:xf numFmtId="164" fontId="9" fillId="4" borderId="0" xfId="0" applyNumberFormat="1" applyFont="1" applyFill="1" applyBorder="1" applyAlignment="1">
      <x:alignment horizontal="general" vertical="bottom" wrapText="1"/>
    </x:xf>
    <x:xf numFmtId="164" fontId="6" fillId="0" borderId="0" xfId="0" applyNumberFormat="1" applyFont="1" applyFill="1" applyBorder="1" applyAlignment="1">
      <x:alignment horizontal="general" vertical="bottom" wrapText="0"/>
    </x:xf>
    <x:xf numFmtId="165" fontId="10" fillId="0" borderId="0" xfId="0" applyNumberFormat="1" applyFont="1" applyFill="1" applyBorder="1" applyAlignment="1">
      <x:alignment horizontal="general" vertical="bottom" wrapText="0"/>
    </x:xf>
    <x:xf numFmtId="164" fontId="11" fillId="0" borderId="0" xfId="0" applyNumberFormat="1" applyFont="1" applyFill="1" applyBorder="1" applyAlignment="1">
      <x:alignment horizontal="general" vertical="bottom" wrapText="0"/>
    </x:xf>
    <x:xf numFmtId="166" fontId="10" fillId="0" borderId="0" xfId="0" applyNumberFormat="1" applyFont="1" applyFill="1" applyBorder="1" applyAlignment="1">
      <x:alignment horizontal="general" vertical="bottom" wrapText="0"/>
    </x:xf>
    <x:xf numFmtId="167" fontId="10" fillId="0" borderId="0" xfId="0" applyNumberFormat="1" applyFont="1" applyFill="1" applyBorder="1" applyAlignment="1">
      <x:alignment horizontal="general" vertical="bottom" wrapText="0"/>
    </x:xf>
    <x:xf numFmtId="168" fontId="10" fillId="0" borderId="0" xfId="0" applyNumberFormat="1" applyFont="1" applyFill="1" applyBorder="1" applyAlignment="1">
      <x:alignment horizontal="general" vertical="bottom" wrapText="0"/>
    </x:xf>
    <x:xf numFmtId="169" fontId="10" fillId="0" borderId="0" xfId="0" applyNumberFormat="1" applyFont="1" applyFill="1" applyBorder="1" applyAlignment="1">
      <x:alignment horizontal="general" vertical="bottom" wrapText="0"/>
    </x:xf>
    <x:xf numFmtId="164" fontId="6" fillId="2" borderId="0" xfId="0" applyNumberFormat="1" applyFont="1" applyFill="1" applyBorder="1" applyAlignment="1">
      <x:alignment horizontal="general" vertical="bottom" wrapText="0"/>
    </x:xf>
    <x:xf numFmtId="169" fontId="10" fillId="2" borderId="0" xfId="0" applyNumberFormat="1" applyFont="1" applyFill="1" applyBorder="1" applyAlignment="1">
      <x:alignment horizontal="general" vertical="bottom" wrapText="0"/>
    </x:xf>
    <x:xf numFmtId="170" fontId="10" fillId="0" borderId="0" xfId="0" applyNumberFormat="1" applyFont="1" applyFill="1" applyBorder="1" applyAlignment="1">
      <x:alignment horizontal="general" vertical="bottom" wrapText="0"/>
    </x:xf>
    <x:xf numFmtId="171" fontId="10" fillId="0" borderId="0" xfId="0" applyNumberFormat="1" applyFont="1" applyFill="1" applyBorder="1" applyAlignment="1">
      <x:alignment horizontal="general" vertical="bottom" wrapText="0"/>
    </x:xf>
    <x:xf numFmtId="172" fontId="1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10" fillId="0" borderId="0" xfId="0" applyNumberFormat="1" applyFont="1" applyFill="1" applyBorder="1" applyAlignment="1">
      <x:alignment horizontal="general" vertical="bottom" wrapText="0"/>
    </x:xf>
    <x:xf numFmtId="165" fontId="6" fillId="5" borderId="0" xfId="0" applyNumberFormat="1" applyFont="1" applyFill="1" applyBorder="1" applyAlignment="1">
      <x:alignment horizontal="general" vertical="bottom" wrapText="0"/>
    </x:xf>
    <x:xf numFmtId="165" fontId="6" fillId="0" borderId="0" xfId="0" applyNumberFormat="1" applyFont="1" applyFill="1" applyBorder="1" applyAlignment="1">
      <x:alignment horizontal="general" vertical="bottom" wrapText="0"/>
    </x:xf>
    <x:xf numFmtId="171" fontId="0" fillId="0" borderId="0" xfId="0" applyNumberFormat="1" applyFont="1" applyFill="1" applyBorder="1" applyAlignment="1">
      <x:alignment horizontal="general" vertical="bottom" wrapText="0"/>
    </x:xf>
    <x:xf numFmtId="164" fontId="6" fillId="5" borderId="0" xfId="0" applyNumberFormat="1" applyFont="1" applyFill="1" applyBorder="1" applyAlignment="1">
      <x:alignment horizontal="general" vertical="bottom" wrapText="0"/>
    </x:xf>
    <x:xf numFmtId="164" fontId="12" fillId="3" borderId="0" xfId="0" applyNumberFormat="1" applyFont="1" applyFill="1" applyBorder="1" applyAlignment="1">
      <x:alignment horizontal="general" vertical="bottom" wrapText="0"/>
    </x:xf>
    <x:xf numFmtId="173" fontId="6" fillId="0" borderId="0" xfId="0" applyNumberFormat="1" applyFont="1" applyFill="1" applyBorder="1" applyAlignment="1">
      <x:alignment horizontal="general" vertical="bottom" wrapText="0"/>
    </x:xf>
    <x:xf numFmtId="166" fontId="6" fillId="0" borderId="0" xfId="0" applyNumberFormat="1" applyFont="1" applyFill="1" applyBorder="1" applyAlignment="1">
      <x:alignment horizontal="general" vertical="bottom" wrapText="0"/>
    </x:xf>
    <x:xf numFmtId="173" fontId="12" fillId="3" borderId="0" xfId="0" applyNumberFormat="1" applyFont="1" applyFill="1" applyBorder="1" applyAlignment="1">
      <x:alignment horizontal="general" vertical="bottom" wrapText="0"/>
    </x:xf>
    <x:xf numFmtId="174" fontId="12" fillId="3" borderId="0" xfId="0" applyNumberFormat="1" applyFont="1" applyFill="1" applyBorder="1" applyAlignment="1">
      <x:alignment horizontal="general" vertical="bottom" wrapText="0"/>
    </x:xf>
    <x:xf numFmtId="166" fontId="12" fillId="3" borderId="0" xfId="0" applyNumberFormat="1" applyFont="1" applyFill="1" applyBorder="1" applyAlignment="1">
      <x:alignment horizontal="general" vertical="bottom" wrapText="0"/>
    </x:xf>
    <x:xf numFmtId="175" fontId="0" fillId="0" borderId="0" xfId="0" applyNumberFormat="1" applyFont="1" applyFill="1" applyBorder="1" applyAlignment="1">
      <x:alignment horizontal="general" vertical="bottom" wrapText="0"/>
    </x:xf>
    <x:xf numFmtId="165" fontId="0" fillId="0" borderId="0" xfId="0" applyNumberFormat="1" applyFont="1" applyFill="1" applyBorder="1" applyAlignment="1">
      <x:alignment horizontal="general" vertical="bottom" wrapText="0"/>
    </x:xf>
    <x:xf numFmtId="176" fontId="0" fillId="0" borderId="0" xfId="0" applyNumberFormat="1" applyFont="1" applyFill="1" applyBorder="1" applyAlignment="1">
      <x:alignment horizontal="general" vertical="bottom" wrapText="0"/>
    </x:xf>
    <x:xf numFmtId="172" fontId="0" fillId="5" borderId="0" xfId="0" applyNumberFormat="1" applyFont="1" applyFill="1" applyBorder="1" applyAlignment="1">
      <x:alignment horizontal="general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4" fillId="4" borderId="0" xfId="0" applyNumberFormat="1" applyFont="1" applyFill="1" applyBorder="1" applyAlignment="1">
      <x:alignment horizontal="general" vertical="bottom" wrapText="0"/>
    </x:xf>
    <x:xf numFmtId="177" fontId="6" fillId="0" borderId="0" xfId="0" applyNumberFormat="1" applyFont="1" applyFill="1" applyBorder="1" applyAlignment="1">
      <x:alignment horizontal="general" vertical="bottom" wrapText="0"/>
    </x:xf>
    <x:xf numFmtId="164" fontId="6" fillId="0" borderId="0" xfId="0" applyNumberFormat="1" applyFont="1" applyFill="1" applyBorder="1" applyAlignment="1">
      <x:alignment horizontal="general" vertical="bottom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5" fillId="9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6F78"/>
      <x:rgbColor rgb="FFC0C0C0"/>
      <x:rgbColor rgb="FF808080"/>
      <x:rgbColor rgb="FF9999FF"/>
      <x:rgbColor rgb="FF993366"/>
      <x:rgbColor rgb="FFFFF1D2"/>
      <x:rgbColor rgb="FFE6EDF3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B7280"/>
      <x:rgbColor rgb="FF969696"/>
      <x:rgbColor rgb="FF132842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21737701849e0" /><Relationship Type="http://schemas.openxmlformats.org/officeDocument/2006/relationships/theme" Target="/xl/theme/theme1.xml" Id="Raa3a5340711d491c" /><Relationship Type="http://schemas.openxmlformats.org/officeDocument/2006/relationships/sharedStrings" Target="/xl/sharedStrings.xml" Id="Rb39447976c414587" /><Relationship Type="http://schemas.openxmlformats.org/officeDocument/2006/relationships/worksheet" Target="/xl/worksheets/sheet1.xml" Id="Ra6c31c3f910d4eae" /><Relationship Type="http://schemas.openxmlformats.org/officeDocument/2006/relationships/worksheet" Target="/xl/worksheets/sheet2.xml" Id="Re6176a43a6c14193" /><Relationship Type="http://schemas.openxmlformats.org/officeDocument/2006/relationships/worksheet" Target="/xl/worksheets/sheet3.xml" Id="Re6bb3d8aa920466b" /><Relationship Type="http://schemas.openxmlformats.org/officeDocument/2006/relationships/worksheet" Target="/xl/worksheets/sheet4.xml" Id="R90a2a5d6d2db4ae1" /><Relationship Type="http://schemas.openxmlformats.org/officeDocument/2006/relationships/worksheet" Target="/xl/worksheets/sheet5.xml" Id="R0f7430625e5f4fdd" /><Relationship Type="http://schemas.openxmlformats.org/officeDocument/2006/relationships/worksheet" Target="/xl/worksheets/sheet6.xml" Id="R6190212c1cfa470f" /><Relationship Type="http://schemas.openxmlformats.org/officeDocument/2006/relationships/worksheet" Target="/xl/worksheets/sheet7.xml" Id="R85d04ac543c94f4c" /><Relationship Type="http://schemas.openxmlformats.org/officeDocument/2006/relationships/worksheet" Target="/xl/worksheets/sheet8.xml" Id="R6c369821491c4be3" /><Relationship Type="http://schemas.openxmlformats.org/officeDocument/2006/relationships/worksheet" Target="/xl/worksheets/sheet9.xml" Id="Rc72eb8e04ea946a3" /><Relationship Type="http://schemas.openxmlformats.org/officeDocument/2006/relationships/worksheet" Target="/xl/worksheets/sheet10.xml" Id="R8f89ce7562664105" /><Relationship Type="http://schemas.openxmlformats.org/officeDocument/2006/relationships/worksheet" Target="/xl/worksheets/sheet11.xml" Id="R9ec274e53e0d45ee" /><Relationship Type="http://schemas.openxmlformats.org/officeDocument/2006/relationships/worksheet" Target="/xl/worksheets/sheet12.xml" Id="R36200aa28ea641fd" /><Relationship Type="http://schemas.openxmlformats.org/officeDocument/2006/relationships/worksheet" Target="/xl/worksheets/sheet13.xml" Id="R6d350698798c40a1" /><Relationship Type="http://schemas.openxmlformats.org/officeDocument/2006/relationships/worksheet" Target="/xl/worksheets/sheet14.xml" Id="R38cfbc0020ea4319" /><Relationship Type="http://schemas.openxmlformats.org/officeDocument/2006/relationships/worksheet" Target="/xl/worksheets/sheet15.xml" Id="R1c3eeac5f7514aba" /><Relationship Type="http://schemas.openxmlformats.org/officeDocument/2006/relationships/worksheet" Target="/xl/worksheets/sheet16.xml" Id="Redc49a0e46b646fd" /><Relationship Type="http://schemas.openxmlformats.org/officeDocument/2006/relationships/worksheet" Target="/xl/worksheets/sheet17.xml" Id="R662ec461352a4710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30" hidden="0" customWidth="1"/>
  </x:cols>
  <x:sheetData>
    <x:row r="1" ht="18.649999618530273" hidden="0">
      <x:c r="A1" s="1" t="str">
        <x:v>FUTURO NAZIONALE - MODELLO TERRITORIALE v3.2 | Revisione finale 18/10/2026</x:v>
      </x:c>
    </x:row>
    <x:row r="2" ht="15" hidden="0">
      <x:c r="A2" s="2" t="s">
        <x:v>0</x:v>
      </x:c>
    </x:row>
    <x:row r="3" ht="15" hidden="0">
      <x:c r="A3" s="3"/>
    </x:row>
    <x:row r="4" ht="15" hidden="0">
      <x:c r="A4" s="4" t="s">
        <x:v>1</x:v>
      </x:c>
    </x:row>
    <x:row r="5" ht="15" hidden="0">
      <x:c r="A5" s="3" t="s">
        <x:v>2</x:v>
      </x:c>
    </x:row>
    <x:row r="6" ht="15" hidden="0">
      <x:c r="A6" s="3" t="s">
        <x:v>3</x:v>
      </x:c>
    </x:row>
    <x:row r="7" ht="15" hidden="0">
      <x:c r="A7" s="3" t="s">
        <x:v>4</x:v>
      </x:c>
    </x:row>
    <x:row r="8" ht="15" hidden="0">
      <x:c r="A8" s="3" t="s">
        <x:v>5</x:v>
      </x:c>
    </x:row>
    <x:row r="9" ht="15" hidden="0">
      <x:c r="A9" s="3" t="s">
        <x:v>6</x:v>
      </x:c>
    </x:row>
    <x:row r="10" ht="15" hidden="0">
      <x:c r="A10" s="3" t="s">
        <x:v>7</x:v>
      </x:c>
    </x:row>
    <x:row r="11" ht="15" hidden="0">
      <x:c r="A11" s="3" t="s">
        <x:v>8</x:v>
      </x:c>
    </x:row>
    <x:row r="12" ht="15" hidden="0">
      <x:c r="A12" s="3" t="s">
        <x:v>9</x:v>
      </x:c>
    </x:row>
    <x:row r="13" ht="15" hidden="0">
      <x:c r="A13" s="3"/>
    </x:row>
    <x:row r="14" ht="15" hidden="0">
      <x:c r="A14" s="4" t="s">
        <x:v>10</x:v>
      </x:c>
    </x:row>
    <x:row r="15" ht="15" hidden="0">
      <x:c r="A15" s="3" t="s">
        <x:v>11</x:v>
      </x:c>
    </x:row>
    <x:row r="16" ht="15" hidden="0">
      <x:c r="A16" s="3" t="s">
        <x:v>12</x:v>
      </x:c>
    </x:row>
    <x:row r="17" ht="15" hidden="0">
      <x:c r="A17" s="3" t="str">
        <x:v>3. STORICO: H iscritti, ΔH, JS mensile e H scenario condizionato; servono 20 dati per mese.</x:v>
      </x:c>
    </x:row>
    <x:row r="18" ht="15" hidden="0">
      <x:c r="A18" s="3" t="s">
        <x:v>13</x:v>
      </x:c>
    </x:row>
    <x:row r="19" ht="15" hidden="0">
      <x:c r="A19" s="3"/>
    </x:row>
    <x:row r="20" ht="15" hidden="0">
      <x:c r="A20" s="4" t="s">
        <x:v>14</x:v>
      </x:c>
    </x:row>
    <x:row r="21" ht="28.350000381469727" hidden="0">
      <x:c r="A21" s="3" t="str">
        <x:v>v3.2: controllo esiti D/E; JS e H scenario mensili; BASELINE_FISSA 18/10 non cambia se modifichi i parametri correnti.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ColWidth="8.6796875" defaultRowHeight="15"/>
  <x:cols>
    <x:col min="1" max="1" width="44" style="5" hidden="0" customWidth="1"/>
    <x:col min="2" max="2" width="30" style="5" hidden="0" customWidth="1"/>
    <x:col min="3" max="3" width="52" hidden="0" customWidth="1"/>
  </x:cols>
  <x:sheetData>
    <x:row r="1" ht="36" hidden="0" customHeight="1">
      <x:c r="A1" s="6" t="s">
        <x:v>15</x:v>
      </x:c>
      <x:c r="B1" s="6"/>
      <x:c r="C1" s="6"/>
      <x:c r="D1" s="6"/>
      <x:c r="E1" s="6"/>
      <x:c r="F1" s="6"/>
      <x:c r="G1" s="6"/>
      <x:c r="H1" s="6"/>
    </x:row>
    <x:row r="2" ht="24.75" hidden="0" customHeight="1">
      <x:c r="A2" s="7" t="s">
        <x:v>16</x:v>
      </x:c>
      <x:c r="B2" s="7"/>
      <x:c r="C2" s="7"/>
      <x:c r="D2" s="7"/>
      <x:c r="E2" s="7"/>
      <x:c r="F2" s="7"/>
      <x:c r="G2" s="7"/>
      <x:c r="H2" s="7"/>
    </x:row>
    <x:row r="3" ht="33.75" hidden="0" customHeight="1">
      <x:c r="A3" s="8" t="s">
        <x:v>17</x:v>
      </x:c>
      <x:c r="B3" s="8" t="s">
        <x:v>18</x:v>
      </x:c>
      <x:c r="C3" s="8" t="s">
        <x:v>19</x:v>
      </x:c>
    </x:row>
    <x:row r="4" ht="15" hidden="0" customHeight="1">
      <x:c r="A4" s="9" t="s">
        <x:v>20</x:v>
      </x:c>
      <x:c r="B4" s="10" t="n">
        <x:f aca="0">PARAMETRI!B4</x:f>
        <x:v>0.072</x:v>
      </x:c>
      <x:c r="C4" s="11" t="s">
        <x:v>21</x:v>
      </x:c>
    </x:row>
    <x:row r="5" ht="15" hidden="0" customHeight="1">
      <x:c r="A5" s="9" t="s">
        <x:v>22</x:v>
      </x:c>
      <x:c r="B5" s="12" t="n">
        <x:f aca="0">PARAMETRI!B22</x:f>
        <x:v>158320</x:v>
      </x:c>
      <x:c r="C5" s="11" t="s">
        <x:v>23</x:v>
      </x:c>
    </x:row>
    <x:row r="6" ht="15" hidden="0" customHeight="1">
      <x:c r="A6" s="9" t="s">
        <x:v>24</x:v>
      </x:c>
      <x:c r="B6" s="12" t="n">
        <x:f aca="0">DATI!G25</x:f>
        <x:v>156456</x:v>
      </x:c>
      <x:c r="C6" s="11" t="s">
        <x:v>25</x:v>
      </x:c>
    </x:row>
    <x:row r="7" ht="15" hidden="0" customHeight="1">
      <x:c r="A7" s="9" t="s">
        <x:v>26</x:v>
      </x:c>
      <x:c r="B7" s="12" t="n">
        <x:f aca="0">PARAMETRI!B23</x:f>
        <x:v>2331</x:v>
      </x:c>
      <x:c r="C7" s="11" t="s">
        <x:v>27</x:v>
      </x:c>
    </x:row>
    <x:row r="8" ht="15" hidden="0" customHeight="1">
      <x:c r="A8" s="9" t="s">
        <x:v>28</x:v>
      </x:c>
      <x:c r="B8" s="13" t="n">
        <x:f aca="0">SUM(DATI!H25:K25)</x:f>
        <x:v>38</x:v>
      </x:c>
      <x:c r="C8" s="11" t="s">
        <x:v>29</x:v>
      </x:c>
    </x:row>
    <x:row r="9" ht="15" hidden="0" customHeight="1">
      <x:c r="A9" s="9" t="s">
        <x:v>30</x:v>
      </x:c>
      <x:c r="B9" s="12" t="n">
        <x:f aca="0">SCENARIO!L25*PARAMETRI!B24</x:f>
        <x:v>1674508.4639999995</x:v>
      </x:c>
      <x:c r="C9" s="11" t="s">
        <x:v>31</x:v>
      </x:c>
    </x:row>
    <x:row r="10" ht="15" hidden="0" customHeight="1">
      <x:c r="A10" s="9" t="s">
        <x:v>32</x:v>
      </x:c>
      <x:c r="B10" s="14" t="str">
        <x:f aca="0">INDEX(SCENARIO!A4:A23,MATCH(MAX(SCENARIO!I4:I23),SCENARIO!I4:I23,0))</x:f>
        <x:v>Calabria</x:v>
      </x:c>
      <x:c r="C10" s="11" t="s">
        <x:v>33</x:v>
      </x:c>
    </x:row>
    <x:row r="11" ht="15" hidden="0" customHeight="1">
      <x:c r="A11" s="9" t="s">
        <x:v>34</x:v>
      </x:c>
      <x:c r="B11" s="10" t="n">
        <x:f aca="0">MAX(SCENARIO!I4:I23)</x:f>
        <x:v>0.10384130725318118</x:v>
      </x:c>
      <x:c r="C11" s="11"/>
    </x:row>
    <x:row r="12" ht="15" hidden="0" customHeight="1">
      <x:c r="A12" s="9" t="s">
        <x:v>35</x:v>
      </x:c>
      <x:c r="B12" s="14" t="str">
        <x:f aca="0">INDEX(SCENARIO!A4:A23,MATCH(MIN(SCENARIO!I4:I23),SCENARIO!I4:I23,0))</x:f>
        <x:v>Umbria</x:v>
      </x:c>
      <x:c r="C12" s="11"/>
    </x:row>
    <x:row r="13" ht="15" hidden="0" customHeight="1">
      <x:c r="A13" s="9" t="s">
        <x:v>36</x:v>
      </x:c>
      <x:c r="B13" s="10" t="n">
        <x:f aca="0">MIN(SCENARIO!I4:I23)</x:f>
        <x:v>0.054489126939598516</x:v>
      </x:c>
      <x:c r="C13" s="11"/>
    </x:row>
    <x:row r="14" ht="15" hidden="0" customHeight="1">
      <x:c r="A14" s="9" t="s">
        <x:v>37</x:v>
      </x:c>
      <x:c r="B14" s="15" t="n">
        <x:f aca="0">SUM(CONTROLLO_FORMULE!B4:B23)/LN(20)</x:f>
        <x:v>0.8860901925897514</x:v>
      </x:c>
      <x:c r="C14" s="11" t="s">
        <x:v>38</x:v>
      </x:c>
    </x:row>
    <x:row r="15" ht="15" hidden="0">
      <x:c r="A15" s="16" t="s">
        <x:v>39</x:v>
      </x:c>
      <x:c r="B15" s="17" t="n">
        <x:f aca="0">SUM(CONTROLLO_FORMULE!C4:C23)/LN(20)</x:f>
        <x:v>0.8984489292021597</x:v>
      </x:c>
      <x:c r="C15" s="11" t="s">
        <x:v>40</x:v>
      </x:c>
    </x:row>
    <x:row r="16" ht="15" hidden="0">
      <x:c r="A16" s="16" t="s">
        <x:v>41</x:v>
      </x:c>
      <x:c r="B16" s="17" t="n">
        <x:f aca="0">SCENARIO!M25/LN(20)</x:f>
        <x:v>0.8843368983935119</x:v>
      </x:c>
      <x:c r="C16" s="11" t="s">
        <x:v>42</x:v>
      </x:c>
    </x:row>
    <x:row r="17" ht="15" hidden="0" customHeight="1">
      <x:c r="A17" s="18" t="s">
        <x:v>43</x:v>
      </x:c>
      <x:c r="B17" s="19" t="n">
        <x:f aca="0">SUM(CONTROLLO_FORMULE!D4:D23)/LN(20)</x:f>
        <x:v>0.864491513623575</x:v>
      </x:c>
      <x:c r="C17" s="11" t="s">
        <x:v>44</x:v>
      </x:c>
    </x:row>
    <x:row r="18" ht="15" hidden="0" customHeight="1">
      <x:c r="A18" s="9" t="s">
        <x:v>45</x:v>
      </x:c>
      <x:c r="B18" s="20" t="n">
        <x:f aca="0">SCENARIO!N25</x:f>
        <x:v>0.0038786098922257237</x:v>
      </x:c>
      <x:c r="C18" s="11" t="s">
        <x:v>46</x:v>
      </x:c>
    </x:row>
    <x:row r="19" ht="15" hidden="0" customHeight="1">
      <x:c r="A19" s="9" t="s">
        <x:v>47</x:v>
      </x:c>
      <x:c r="B19" s="21" t="n">
        <x:f aca="0">SUM(CONTROLLO_FORMULE!E4:E23)</x:f>
        <x:v>0.975985684272019</x:v>
      </x:c>
      <x:c r="C19" s="11" t="s">
        <x:v>48</x:v>
      </x:c>
    </x:row>
    <x:row r="20" ht="15" hidden="0" customHeight="1">
      <x:c r="A20" s="9" t="s">
        <x:v>49</x:v>
      </x:c>
      <x:c r="B20" s="22" t="n">
        <x:f aca="0">PARAMETRI!B9</x:f>
        <x:v>1</x:v>
      </x:c>
      <x:c r="C20" s="11" t="s">
        <x:v>50</x:v>
      </x:c>
    </x:row>
    <x:row r="21" ht="15" hidden="0" customHeight="1">
      <x:c r="A21" s="9" t="s">
        <x:v>51</x:v>
      </x:c>
      <x:c r="B21" s="14" t="str">
        <x:f aca="0">IF(VALIDAZIONE!B27=20,"VALUTATA: vedere VALIDAZIONE","NON VALUTATA (nessun esito regionale indipendente)")</x:f>
        <x:v>NON VALUTATA (nessun esito regionale indipendente)</x:v>
      </x:c>
      <x:c r="C21" s="11"/>
    </x:row>
    <x:row r="23" ht="15" hidden="0">
      <x:c r="A23" s="23" t="s">
        <x:v>52</x:v>
      </x:c>
    </x:row>
    <x:row r="24" ht="15" hidden="0">
      <x:c r="A24" s="24" t="s">
        <x:v>53</x:v>
      </x:c>
      <x:c r="B24" s="16" t="s">
        <x:v>54</x:v>
      </x:c>
    </x:row>
    <x:row r="25" ht="15" hidden="0">
      <x:c r="A25" s="24" t="s">
        <x:v>55</x:v>
      </x:c>
      <x:c r="B25" s="16" t="s">
        <x:v>56</x:v>
      </x:c>
    </x:row>
    <x:row r="26" ht="15" hidden="0">
      <x:c r="A26" s="24" t="s">
        <x:v>57</x:v>
      </x:c>
      <x:c r="B26" s="16" t="s">
        <x:v>58</x:v>
      </x:c>
    </x:row>
    <x:row r="27" ht="15" hidden="0">
      <x:c r="A27" s="24" t="s">
        <x:v>59</x:v>
      </x:c>
      <x:c r="B27" s="16" t="s">
        <x:v>60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ColWidth="8.6796875" defaultRowHeight="15"/>
  <x:cols>
    <x:col min="1" max="1" width="43" style="5" hidden="0" customWidth="1"/>
    <x:col min="2" max="2" width="20" style="5" hidden="0" customWidth="1"/>
  </x:cols>
  <x:sheetData>
    <x:row r="1" ht="36" hidden="0" customHeight="1">
      <x:c r="A1" s="6" t="s">
        <x:v>61</x:v>
      </x:c>
      <x:c r="B1" s="6"/>
      <x:c r="C1" s="6"/>
      <x:c r="D1" s="6"/>
      <x:c r="E1" s="6"/>
    </x:row>
    <x:row r="2" ht="24.75" hidden="0" customHeight="1">
      <x:c r="A2" s="7" t="s">
        <x:v>62</x:v>
      </x:c>
      <x:c r="B2" s="7"/>
      <x:c r="C2" s="7"/>
      <x:c r="D2" s="7"/>
      <x:c r="E2" s="7"/>
    </x:row>
    <x:row r="3" ht="33.75" hidden="0" customHeight="1">
      <x:c r="A3" s="8" t="s">
        <x:v>63</x:v>
      </x:c>
      <x:c r="B3" s="8" t="s">
        <x:v>18</x:v>
      </x:c>
    </x:row>
    <x:row r="4" ht="15" hidden="0" customHeight="1">
      <x:c r="A4" s="5" t="s">
        <x:v>64</x:v>
      </x:c>
      <x:c r="B4" s="25" t="n">
        <x:v>0.072</x:v>
      </x:c>
    </x:row>
    <x:row r="5" ht="15" hidden="0" customHeight="1">
      <x:c r="A5" s="5" t="s">
        <x:v>65</x:v>
      </x:c>
      <x:c r="B5" s="25" t="n">
        <x:v>0.35</x:v>
      </x:c>
    </x:row>
    <x:row r="6" ht="15" hidden="0" customHeight="1">
      <x:c r="A6" s="5" t="s">
        <x:v>66</x:v>
      </x:c>
      <x:c r="B6" s="25" t="n">
        <x:v>0.25</x:v>
      </x:c>
    </x:row>
    <x:row r="7" ht="15" hidden="0" customHeight="1">
      <x:c r="A7" s="5" t="s">
        <x:v>67</x:v>
      </x:c>
      <x:c r="B7" s="25" t="n">
        <x:v>0.25</x:v>
      </x:c>
    </x:row>
    <x:row r="8" ht="15" hidden="0" customHeight="1">
      <x:c r="A8" s="5" t="s">
        <x:v>68</x:v>
      </x:c>
      <x:c r="B8" s="25" t="n">
        <x:v>0.15</x:v>
      </x:c>
    </x:row>
    <x:row r="9" ht="15" hidden="0" customHeight="1">
      <x:c r="A9" s="5" t="s">
        <x:v>69</x:v>
      </x:c>
      <x:c r="B9" s="26" t="n">
        <x:f aca="0">SUM(B5:B8)</x:f>
        <x:v>1</x:v>
      </x:c>
    </x:row>
    <x:row r="10" ht="15" hidden="0" customHeight="1">
      <x:c r="A10" s="5" t="s">
        <x:v>70</x:v>
      </x:c>
      <x:c r="B10" s="5" t="n">
        <x:v>5</x:v>
      </x:c>
    </x:row>
    <x:row r="11" ht="15" hidden="0" customHeight="1">
      <x:c r="A11" s="5" t="s">
        <x:v>71</x:v>
      </x:c>
      <x:c r="B11" s="5" t="n">
        <x:v>3</x:v>
      </x:c>
    </x:row>
    <x:row r="12" ht="15" hidden="0" customHeight="1">
      <x:c r="A12" s="5" t="s">
        <x:v>72</x:v>
      </x:c>
      <x:c r="B12" s="5" t="n">
        <x:v>2</x:v>
      </x:c>
    </x:row>
    <x:row r="13" ht="15" hidden="0" customHeight="1">
      <x:c r="A13" s="5" t="s">
        <x:v>73</x:v>
      </x:c>
      <x:c r="B13" s="5" t="n">
        <x:v>1</x:v>
      </x:c>
    </x:row>
    <x:row r="14" ht="15" hidden="0" customHeight="1">
      <x:c r="A14" s="5" t="s">
        <x:v>74</x:v>
      </x:c>
      <x:c r="B14" s="5" t="n">
        <x:v>30</x:v>
      </x:c>
    </x:row>
    <x:row r="15" ht="15" hidden="0" customHeight="1">
      <x:c r="A15" s="5" t="s">
        <x:v>75</x:v>
      </x:c>
      <x:c r="B15" s="26" t="n">
        <x:v>0.31</x:v>
      </x:c>
    </x:row>
    <x:row r="16" ht="15" hidden="0" customHeight="1">
      <x:c r="A16" s="5" t="s">
        <x:v>76</x:v>
      </x:c>
      <x:c r="B16" s="26" t="n">
        <x:v>0.25</x:v>
      </x:c>
    </x:row>
    <x:row r="17" ht="15" hidden="0" customHeight="1">
      <x:c r="A17" s="5" t="s">
        <x:v>77</x:v>
      </x:c>
      <x:c r="B17" s="26" t="n">
        <x:v>0.36</x:v>
      </x:c>
    </x:row>
    <x:row r="18" ht="15" hidden="0" customHeight="1">
      <x:c r="A18" s="5" t="s">
        <x:v>78</x:v>
      </x:c>
      <x:c r="B18" s="26" t="n">
        <x:f aca="0">1-SUM(B15:B17)</x:f>
        <x:v>0.07999999999999996</x:v>
      </x:c>
    </x:row>
    <x:row r="19" ht="15" hidden="0" customHeight="1">
      <x:c r="A19" s="5" t="s">
        <x:v>79</x:v>
      </x:c>
      <x:c r="B19" s="5" t="n">
        <x:v>24621499</x:v>
      </x:c>
    </x:row>
    <x:row r="20" ht="15" hidden="0" customHeight="1">
      <x:c r="A20" s="5" t="s">
        <x:v>80</x:v>
      </x:c>
      <x:c r="B20" s="5" t="n">
        <x:v>49552399</x:v>
      </x:c>
    </x:row>
    <x:row r="21" ht="15" hidden="0" customHeight="1">
      <x:c r="A21" s="5" t="s">
        <x:v>81</x:v>
      </x:c>
      <x:c r="B21" s="5" t="n">
        <x:f aca="0">SUM(DATI!B4:B23)/B19</x:f>
        <x:v>0.9445835121574035</x:v>
      </x:c>
    </x:row>
    <x:row r="22" ht="15" hidden="0" customHeight="1">
      <x:c r="A22" s="5" t="s">
        <x:v>82</x:v>
      </x:c>
      <x:c r="B22" s="5" t="n">
        <x:v>158320</x:v>
      </x:c>
    </x:row>
    <x:row r="23" ht="15" hidden="0" customHeight="1">
      <x:c r="A23" s="5" t="s">
        <x:v>26</x:v>
      </x:c>
      <x:c r="B23" s="5" t="n">
        <x:v>2331</x:v>
      </x:c>
    </x:row>
    <x:row r="24" ht="15" hidden="0">
      <x:c r="A24" s="5" t="s">
        <x:v>83</x:v>
      </x:c>
      <x:c r="B24" s="27" t="n">
        <x:v>1</x:v>
      </x:c>
      <x:c r="C24" s="28" t="s">
        <x:v>84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ColWidth="8.6796875" defaultRowHeight="15"/>
  <x:cols>
    <x:col min="1" max="1" width="26" style="5" hidden="0" customWidth="1"/>
    <x:col min="2" max="14" width="15" style="5" hidden="0" customWidth="1"/>
    <x:col min="15" max="15" width="16" style="5" hidden="0" customWidth="1"/>
    <x:col min="16" max="16" width="41" style="5" hidden="0" customWidth="1"/>
  </x:cols>
  <x:sheetData>
    <x:row r="1" ht="36" hidden="0" customHeight="1">
      <x:c r="A1" s="6" t="s">
        <x:v>85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24.75" hidden="0" customHeight="1">
      <x:c r="A2" s="7" t="s">
        <x:v>86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3.75" hidden="0" customHeight="1">
      <x:c r="A3" s="8" t="s">
        <x:v>87</x:v>
      </x:c>
      <x:c r="B3" s="8" t="s">
        <x:v>88</x:v>
      </x:c>
      <x:c r="C3" s="8" t="s">
        <x:v>89</x:v>
      </x:c>
      <x:c r="D3" s="8" t="s">
        <x:v>90</x:v>
      </x:c>
      <x:c r="E3" s="8" t="s">
        <x:v>91</x:v>
      </x:c>
      <x:c r="F3" s="8" t="s">
        <x:v>92</x:v>
      </x:c>
      <x:c r="G3" s="8" t="s">
        <x:v>93</x:v>
      </x:c>
      <x:c r="H3" s="8" t="s">
        <x:v>94</x:v>
      </x:c>
      <x:c r="I3" s="8" t="s">
        <x:v>95</x:v>
      </x:c>
      <x:c r="J3" s="8" t="s">
        <x:v>96</x:v>
      </x:c>
      <x:c r="K3" s="8" t="s">
        <x:v>97</x:v>
      </x:c>
      <x:c r="L3" s="8" t="s">
        <x:v>98</x:v>
      </x:c>
      <x:c r="M3" s="8" t="s">
        <x:v>99</x:v>
      </x:c>
      <x:c r="N3" s="8" t="s">
        <x:v>100</x:v>
      </x:c>
      <x:c r="O3" s="8" t="s">
        <x:v>101</x:v>
      </x:c>
      <x:c r="P3" s="8" t="s">
        <x:v>102</x:v>
      </x:c>
    </x:row>
    <x:row r="4" ht="15" hidden="0" customHeight="1">
      <x:c r="A4" s="5" t="s">
        <x:v>103</x:v>
      </x:c>
      <x:c r="B4" s="29" t="n">
        <x:v>1871934</x:v>
      </x:c>
      <x:c r="C4" s="29" t="n">
        <x:v>569893</x:v>
      </x:c>
      <x:c r="D4" s="29" t="n">
        <x:v>192757</x:v>
      </x:c>
      <x:c r="E4" s="29" t="n">
        <x:v>56.62</x:v>
      </x:c>
      <x:c r="F4" s="29" t="n">
        <x:v>49182.7505759292</x:v>
      </x:c>
      <x:c r="G4" s="29" t="n">
        <x:v>11507</x:v>
      </x:c>
      <x:c r="H4" s="29" t="n">
        <x:v>1</x:v>
      </x:c>
      <x:c r="I4" s="29" t="n">
        <x:v>0</x:v>
      </x:c>
      <x:c r="J4" s="29" t="n">
        <x:v>2</x:v>
      </x:c>
      <x:c r="K4" s="29" t="n">
        <x:v>2</x:v>
      </x:c>
      <x:c r="L4" s="5" t="n">
        <x:f aca="0">H4*PARAMETRI!$B$10+I4*PARAMETRI!$B$11+J4*PARAMETRI!$B$12+K4*PARAMETRI!$B$13</x:f>
        <x:v>11</x:v>
      </x:c>
      <x:c r="M4" s="5" t="n">
        <x:f aca="0">B4/PARAMETRI!$B$21</x:f>
        <x:v>1981755.954774769</x:v>
      </x:c>
      <x:c r="N4" s="5" t="n">
        <x:f aca="0">M4/(E4/100)-M4</x:f>
        <x:v>1518342.8703307933</x:v>
      </x:c>
      <x:c r="O4" s="5" t="s">
        <x:v>104</x:v>
      </x:c>
      <x:c r="P4" s="5" t="s">
        <x:v>105</x:v>
      </x:c>
    </x:row>
    <x:row r="5" ht="15" hidden="0" customHeight="1">
      <x:c r="A5" s="5" t="s">
        <x:v>106</x:v>
      </x:c>
      <x:c r="B5" s="29" t="n">
        <x:v>39927</x:v>
      </x:c>
      <x:c r="C5" s="29" t="n">
        <x:v>9704</x:v>
      </x:c>
      <x:c r="D5" s="29" t="n">
        <x:v>3534</x:v>
      </x:c>
      <x:c r="E5" s="29" t="n">
        <x:v>42.54</x:v>
      </x:c>
      <x:c r="F5" s="29" t="n">
        <x:v>901.714804314934</x:v>
      </x:c>
      <x:c r="G5" s="29" t="n">
        <x:v>215</x:v>
      </x:c>
      <x:c r="H5" s="29" t="n">
        <x:v>0</x:v>
      </x:c>
      <x:c r="I5" s="29" t="n">
        <x:v>0</x:v>
      </x:c>
      <x:c r="J5" s="29" t="n">
        <x:v>0</x:v>
      </x:c>
      <x:c r="K5" s="29" t="n">
        <x:v>0</x:v>
      </x:c>
      <x:c r="L5" s="5" t="n">
        <x:f aca="0">H5*PARAMETRI!$B$10+I5*PARAMETRI!$B$11+J5*PARAMETRI!$B$12+K5*PARAMETRI!$B$13</x:f>
        <x:v>0</x:v>
      </x:c>
      <x:c r="M5" s="5" t="n">
        <x:f aca="0">B5/PARAMETRI!$B$21</x:f>
        <x:v>42269.42296378623</x:v>
      </x:c>
      <x:c r="N5" s="5" t="n">
        <x:f aca="0">M5/(E5/100)-M5</x:f>
        <x:v>57094.52382461581</x:v>
      </x:c>
      <x:c r="O5" s="5" t="s">
        <x:v>104</x:v>
      </x:c>
      <x:c r="P5" s="5" t="s">
        <x:v>105</x:v>
      </x:c>
    </x:row>
    <x:row r="6" ht="15" hidden="0" customHeight="1">
      <x:c r="A6" s="5" t="s">
        <x:v>107</x:v>
      </x:c>
      <x:c r="B6" s="29" t="n">
        <x:v>625621</x:v>
      </x:c>
      <x:c r="C6" s="29" t="n">
        <x:v>167508</x:v>
      </x:c>
      <x:c r="D6" s="29" t="n">
        <x:v>55560</x:v>
      </x:c>
      <x:c r="E6" s="29" t="n">
        <x:v>50.61</x:v>
      </x:c>
      <x:c r="F6" s="29" t="n">
        <x:v>14176.3651747985</x:v>
      </x:c>
      <x:c r="G6" s="29" t="n">
        <x:v>4955</x:v>
      </x:c>
      <x:c r="H6" s="29" t="n">
        <x:v>0</x:v>
      </x:c>
      <x:c r="I6" s="29" t="n">
        <x:v>1</x:v>
      </x:c>
      <x:c r="J6" s="29" t="n">
        <x:v>0</x:v>
      </x:c>
      <x:c r="K6" s="29" t="n">
        <x:v>1</x:v>
      </x:c>
      <x:c r="L6" s="5" t="n">
        <x:f aca="0">H6*PARAMETRI!$B$10+I6*PARAMETRI!$B$11+J6*PARAMETRI!$B$12+K6*PARAMETRI!$B$13</x:f>
        <x:v>4</x:v>
      </x:c>
      <x:c r="M6" s="5" t="n">
        <x:f aca="0">B6/PARAMETRI!$B$21</x:f>
        <x:v>662324.7091949533</x:v>
      </x:c>
      <x:c r="N6" s="5" t="n">
        <x:f aca="0">M6/(E6/100)-M6</x:f>
        <x:v>646358.77073975</x:v>
      </x:c>
      <x:c r="O6" s="5" t="s">
        <x:v>104</x:v>
      </x:c>
      <x:c r="P6" s="5" t="s">
        <x:v>105</x:v>
      </x:c>
    </x:row>
    <x:row r="7" ht="15" hidden="0" customHeight="1">
      <x:c r="A7" s="5" t="s">
        <x:v>108</x:v>
      </x:c>
      <x:c r="B7" s="29" t="n">
        <x:v>4203327</x:v>
      </x:c>
      <x:c r="C7" s="29" t="n">
        <x:v>1336243</x:v>
      </x:c>
      <x:c r="D7" s="29" t="n">
        <x:v>550171</x:v>
      </x:c>
      <x:c r="E7" s="29" t="n">
        <x:v>55.29</x:v>
      </x:c>
      <x:c r="F7" s="29" t="n">
        <x:v>122608</x:v>
      </x:c>
      <x:c r="G7" s="29" t="n">
        <x:v>23693</x:v>
      </x:c>
      <x:c r="H7" s="29" t="n">
        <x:v>1</x:v>
      </x:c>
      <x:c r="I7" s="29" t="n">
        <x:v>3</x:v>
      </x:c>
      <x:c r="J7" s="29" t="n">
        <x:v>0</x:v>
      </x:c>
      <x:c r="K7" s="29" t="n">
        <x:v>3</x:v>
      </x:c>
      <x:c r="L7" s="5" t="n">
        <x:f aca="0">H7*PARAMETRI!$B$10+I7*PARAMETRI!$B$11+J7*PARAMETRI!$B$12+K7*PARAMETRI!$B$13</x:f>
        <x:v>17</x:v>
      </x:c>
      <x:c r="M7" s="5" t="n">
        <x:f aca="0">B7/PARAMETRI!$B$21</x:f>
        <x:v>4449926.285924379</x:v>
      </x:c>
      <x:c r="N7" s="5" t="n">
        <x:f aca="0">M7/(E7/100)-M7</x:f>
        <x:v>3598412.0861580577</x:v>
      </x:c>
      <x:c r="O7" s="5" t="s">
        <x:v>109</x:v>
      </x:c>
      <x:c r="P7" s="5" t="s">
        <x:v>105</x:v>
      </x:c>
    </x:row>
    <x:row r="8" ht="15" hidden="0" customHeight="1">
      <x:c r="A8" s="5" t="s">
        <x:v>110</x:v>
      </x:c>
      <x:c r="B8" s="29" t="n">
        <x:v>401701</x:v>
      </x:c>
      <x:c r="C8" s="29" t="n">
        <x:v>78553</x:v>
      </x:c>
      <x:c r="D8" s="29" t="n">
        <x:v>30248</x:v>
      </x:c>
      <x:c r="E8" s="29" t="n">
        <x:v>46.96</x:v>
      </x:c>
      <x:c r="F8" s="29" t="n">
        <x:v>8537.09810642771</x:v>
      </x:c>
      <x:c r="G8" s="29" t="n">
        <x:v>1877</x:v>
      </x:c>
      <x:c r="H8" s="29" t="n">
        <x:v>0</x:v>
      </x:c>
      <x:c r="I8" s="29" t="n">
        <x:v>0</x:v>
      </x:c>
      <x:c r="J8" s="29" t="n">
        <x:v>0</x:v>
      </x:c>
      <x:c r="K8" s="29" t="n">
        <x:v>2</x:v>
      </x:c>
      <x:c r="L8" s="5" t="n">
        <x:f aca="0">H8*PARAMETRI!$B$10+I8*PARAMETRI!$B$11+J8*PARAMETRI!$B$12+K8*PARAMETRI!$B$13</x:f>
        <x:v>2</x:v>
      </x:c>
      <x:c r="M8" s="5" t="n">
        <x:f aca="0">B8/PARAMETRI!$B$21</x:f>
        <x:v>425267.8506768826</x:v>
      </x:c>
      <x:c r="N8" s="5" t="n">
        <x:f aca="0">M8/(E8/100)-M8</x:f>
        <x:v>480328.08347320807</x:v>
      </x:c>
      <x:c r="O8" s="5" t="s">
        <x:v>104</x:v>
      </x:c>
      <x:c r="P8" s="5" t="s">
        <x:v>105</x:v>
      </x:c>
    </x:row>
    <x:row r="9" ht="15" hidden="0" customHeight="1">
      <x:c r="A9" s="5" t="s">
        <x:v>111</x:v>
      </x:c>
      <x:c r="B9" s="29" t="n">
        <x:v>2061188</x:v>
      </x:c>
      <x:c r="C9" s="29" t="n">
        <x:v>774624</x:v>
      </x:c>
      <x:c r="D9" s="29" t="n">
        <x:v>271142</x:v>
      </x:c>
      <x:c r="E9" s="29" t="n">
        <x:v>52.6</x:v>
      </x:c>
      <x:c r="F9" s="29" t="n">
        <x:v>76526.2448681904</x:v>
      </x:c>
      <x:c r="G9" s="29" t="n">
        <x:v>15946</x:v>
      </x:c>
      <x:c r="H9" s="29" t="n">
        <x:v>1</x:v>
      </x:c>
      <x:c r="I9" s="29" t="n">
        <x:v>1</x:v>
      </x:c>
      <x:c r="J9" s="29" t="n">
        <x:v>0</x:v>
      </x:c>
      <x:c r="K9" s="29" t="n">
        <x:v>2</x:v>
      </x:c>
      <x:c r="L9" s="5" t="n">
        <x:f aca="0">H9*PARAMETRI!$B$10+I9*PARAMETRI!$B$11+J9*PARAMETRI!$B$12+K9*PARAMETRI!$B$13</x:f>
        <x:v>10</x:v>
      </x:c>
      <x:c r="M9" s="5" t="n">
        <x:f aca="0">B9/PARAMETRI!$B$21</x:f>
        <x:v>2182113.0407964685</x:v>
      </x:c>
      <x:c r="N9" s="5" t="n">
        <x:f aca="0">M9/(E9/100)-M9</x:f>
        <x:v>1966390.839044726</x:v>
      </x:c>
      <x:c r="O9" s="5" t="s">
        <x:v>104</x:v>
      </x:c>
      <x:c r="P9" s="5" t="s">
        <x:v>105</x:v>
      </x:c>
    </x:row>
    <x:row r="10" ht="15" hidden="0" customHeight="1">
      <x:c r="A10" s="5" t="s">
        <x:v>112</x:v>
      </x:c>
      <x:c r="B10" s="29" t="n">
        <x:v>483388</x:v>
      </x:c>
      <x:c r="C10" s="29" t="n">
        <x:v>164336</x:v>
      </x:c>
      <x:c r="D10" s="29" t="n">
        <x:v>72156</x:v>
      </x:c>
      <x:c r="E10" s="29" t="n">
        <x:v>48.29</x:v>
      </x:c>
      <x:c r="F10" s="29" t="n">
        <x:v>20365.0770618685</x:v>
      </x:c>
      <x:c r="G10" s="29" t="n">
        <x:v>3762</x:v>
      </x:c>
      <x:c r="H10" s="29" t="n">
        <x:v>0</x:v>
      </x:c>
      <x:c r="I10" s="29" t="n">
        <x:v>0</x:v>
      </x:c>
      <x:c r="J10" s="29" t="n">
        <x:v>0</x:v>
      </x:c>
      <x:c r="K10" s="29" t="n">
        <x:v>0</x:v>
      </x:c>
      <x:c r="L10" s="5" t="n">
        <x:f aca="0">H10*PARAMETRI!$B$10+I10*PARAMETRI!$B$11+J10*PARAMETRI!$B$12+K10*PARAMETRI!$B$13</x:f>
        <x:v>0</x:v>
      </x:c>
      <x:c r="M10" s="5" t="n">
        <x:f aca="0">B10/PARAMETRI!$B$21</x:f>
        <x:v>511747.23439323506</x:v>
      </x:c>
      <x:c r="N10" s="5" t="n">
        <x:f aca="0">M10/(E10/100)-M10</x:f>
        <x:v>547990.2565846797</x:v>
      </x:c>
      <x:c r="O10" s="5" t="s">
        <x:v>104</x:v>
      </x:c>
      <x:c r="P10" s="5" t="s">
        <x:v>105</x:v>
      </x:c>
    </x:row>
    <x:row r="11" ht="15" hidden="0" customHeight="1">
      <x:c r="A11" s="5" t="s">
        <x:v>113</x:v>
      </x:c>
      <x:c r="B11" s="29" t="n">
        <x:v>1984071</x:v>
      </x:c>
      <x:c r="C11" s="29" t="n">
        <x:v>555981</x:v>
      </x:c>
      <x:c r="D11" s="29" t="n">
        <x:v>128579</x:v>
      </x:c>
      <x:c r="E11" s="29" t="n">
        <x:v>59.02</x:v>
      </x:c>
      <x:c r="F11" s="29" t="n">
        <x:v>36289.7228718054</x:v>
      </x:c>
      <x:c r="G11" s="29" t="n">
        <x:v>9405</x:v>
      </x:c>
      <x:c r="H11" s="29" t="n">
        <x:v>1</x:v>
      </x:c>
      <x:c r="I11" s="29" t="n">
        <x:v>0</x:v>
      </x:c>
      <x:c r="J11" s="29" t="n">
        <x:v>0</x:v>
      </x:c>
      <x:c r="K11" s="29" t="n">
        <x:v>1</x:v>
      </x:c>
      <x:c r="L11" s="5" t="n">
        <x:f aca="0">H11*PARAMETRI!$B$10+I11*PARAMETRI!$B$11+J11*PARAMETRI!$B$12+K11*PARAMETRI!$B$13</x:f>
        <x:v>6</x:v>
      </x:c>
      <x:c r="M11" s="5" t="n">
        <x:f aca="0">B11/PARAMETRI!$B$21</x:f>
        <x:v>2100471.7682065344</x:v>
      </x:c>
      <x:c r="N11" s="5" t="n">
        <x:f aca="0">M11/(E11/100)-M11</x:f>
        <x:v>1458443.4608794264</x:v>
      </x:c>
      <x:c r="O11" s="5" t="s">
        <x:v>104</x:v>
      </x:c>
      <x:c r="P11" s="5" t="s">
        <x:v>105</x:v>
      </x:c>
    </x:row>
    <x:row r="12" ht="15" hidden="0" customHeight="1">
      <x:c r="A12" s="5" t="s">
        <x:v>114</x:v>
      </x:c>
      <x:c r="B12" s="29" t="n">
        <x:v>1654430</x:v>
      </x:c>
      <x:c r="C12" s="29" t="n">
        <x:v>453928</x:v>
      </x:c>
      <x:c r="D12" s="29" t="n">
        <x:v>102750</x:v>
      </x:c>
      <x:c r="E12" s="29" t="n">
        <x:v>59.07</x:v>
      </x:c>
      <x:c r="F12" s="29" t="n">
        <x:v>30660.0936289065</x:v>
      </x:c>
      <x:c r="G12" s="29" t="n">
        <x:v>7552</x:v>
      </x:c>
      <x:c r="H12" s="29" t="n">
        <x:v>1</x:v>
      </x:c>
      <x:c r="I12" s="29" t="n">
        <x:v>1</x:v>
      </x:c>
      <x:c r="J12" s="29" t="n">
        <x:v>0</x:v>
      </x:c>
      <x:c r="K12" s="29" t="n">
        <x:v>3</x:v>
      </x:c>
      <x:c r="L12" s="5" t="n">
        <x:f aca="0">H12*PARAMETRI!$B$10+I12*PARAMETRI!$B$11+J12*PARAMETRI!$B$12+K12*PARAMETRI!$B$13</x:f>
        <x:v>11</x:v>
      </x:c>
      <x:c r="M12" s="5" t="n">
        <x:f aca="0">B12/PARAMETRI!$B$21</x:f>
        <x:v>1751491.5078512498</x:v>
      </x:c>
      <x:c r="N12" s="5" t="n">
        <x:f aca="0">M12/(E12/100)-M12</x:f>
        <x:v>1213620.237283759</x:v>
      </x:c>
      <x:c r="O12" s="5" t="s">
        <x:v>104</x:v>
      </x:c>
      <x:c r="P12" s="5" t="s">
        <x:v>105</x:v>
      </x:c>
    </x:row>
    <x:row r="13" ht="15" hidden="0" customHeight="1">
      <x:c r="A13" s="5" t="s">
        <x:v>115</x:v>
      </x:c>
      <x:c r="B13" s="29" t="n">
        <x:v>392700</x:v>
      </x:c>
      <x:c r="C13" s="29" t="n">
        <x:v>128114</x:v>
      </x:c>
      <x:c r="D13" s="29" t="n">
        <x:v>26818</x:v>
      </x:c>
      <x:c r="E13" s="29" t="n">
        <x:v>60.81</x:v>
      </x:c>
      <x:c r="F13" s="29" t="n">
        <x:v>8002.35903591256</x:v>
      </x:c>
      <x:c r="G13" s="29" t="n">
        <x:v>2109</x:v>
      </x:c>
      <x:c r="H13" s="29" t="n">
        <x:v>0</x:v>
      </x:c>
      <x:c r="I13" s="29" t="n">
        <x:v>0</x:v>
      </x:c>
      <x:c r="J13" s="29" t="n">
        <x:v>0</x:v>
      </x:c>
      <x:c r="K13" s="29" t="n">
        <x:v>0</x:v>
      </x:c>
      <x:c r="L13" s="5" t="n">
        <x:f aca="0">H13*PARAMETRI!$B$10+I13*PARAMETRI!$B$11+J13*PARAMETRI!$B$12+K13*PARAMETRI!$B$13</x:f>
        <x:v>0</x:v>
      </x:c>
      <x:c r="M13" s="5" t="n">
        <x:f aca="0">B13/PARAMETRI!$B$21</x:f>
        <x:v>415738.7832263594</x:v>
      </x:c>
      <x:c r="N13" s="5" t="n">
        <x:f aca="0">M13/(E13/100)-M13</x:f>
        <x:v>267929.66476962715</x:v>
      </x:c>
      <x:c r="O13" s="5" t="s">
        <x:v>104</x:v>
      </x:c>
      <x:c r="P13" s="5" t="s">
        <x:v>105</x:v>
      </x:c>
    </x:row>
    <x:row r="14" ht="15" hidden="0" customHeight="1">
      <x:c r="A14" s="5" t="s">
        <x:v>116</x:v>
      </x:c>
      <x:c r="B14" s="29" t="n">
        <x:v>657675</x:v>
      </x:c>
      <x:c r="C14" s="29" t="n">
        <x:v>216396</x:v>
      </x:c>
      <x:c r="D14" s="29" t="n">
        <x:v>53846</x:v>
      </x:c>
      <x:c r="E14" s="29" t="n">
        <x:v>54.56</x:v>
      </x:c>
      <x:c r="F14" s="29" t="n">
        <x:v>16067.3810369061</x:v>
      </x:c>
      <x:c r="G14" s="29" t="n">
        <x:v>4261</x:v>
      </x:c>
      <x:c r="H14" s="29" t="n">
        <x:v>0</x:v>
      </x:c>
      <x:c r="I14" s="29" t="n">
        <x:v>0</x:v>
      </x:c>
      <x:c r="J14" s="29" t="n">
        <x:v>1</x:v>
      </x:c>
      <x:c r="K14" s="29" t="n">
        <x:v>0</x:v>
      </x:c>
      <x:c r="L14" s="5" t="n">
        <x:f aca="0">H14*PARAMETRI!$B$10+I14*PARAMETRI!$B$11+J14*PARAMETRI!$B$12+K14*PARAMETRI!$B$13</x:f>
        <x:v>2</x:v>
      </x:c>
      <x:c r="M14" s="5" t="n">
        <x:f aca="0">B14/PARAMETRI!$B$21</x:f>
        <x:v>696259.2418090041</x:v>
      </x:c>
      <x:c r="N14" s="5" t="n">
        <x:f aca="0">M14/(E14/100)-M14</x:f>
        <x:v>579875.7321811061</x:v>
      </x:c>
      <x:c r="O14" s="5" t="s">
        <x:v>104</x:v>
      </x:c>
      <x:c r="P14" s="5" t="s">
        <x:v>105</x:v>
      </x:c>
    </x:row>
    <x:row r="15" ht="15" hidden="0" customHeight="1">
      <x:c r="A15" s="5" t="s">
        <x:v>117</x:v>
      </x:c>
      <x:c r="B15" s="29" t="n">
        <x:v>2078310</x:v>
      </x:c>
      <x:c r="C15" s="29" t="n">
        <x:v>688227</x:v>
      </x:c>
      <x:c r="D15" s="29" t="n">
        <x:v>137926</x:v>
      </x:c>
      <x:c r="E15" s="29" t="n">
        <x:v>46.64</x:v>
      </x:c>
      <x:c r="F15" s="29" t="n">
        <x:v>41156.438675042</x:v>
      </x:c>
      <x:c r="G15" s="29" t="n">
        <x:v>15889</x:v>
      </x:c>
      <x:c r="H15" s="29" t="n">
        <x:v>0</x:v>
      </x:c>
      <x:c r="I15" s="29" t="n">
        <x:v>0</x:v>
      </x:c>
      <x:c r="J15" s="29" t="n">
        <x:v>0</x:v>
      </x:c>
      <x:c r="K15" s="29" t="n">
        <x:v>1</x:v>
      </x:c>
      <x:c r="L15" s="5" t="n">
        <x:f aca="0">H15*PARAMETRI!$B$10+I15*PARAMETRI!$B$11+J15*PARAMETRI!$B$12+K15*PARAMETRI!$B$13</x:f>
        <x:v>1</x:v>
      </x:c>
      <x:c r="M15" s="5" t="n">
        <x:f aca="0">B15/PARAMETRI!$B$21</x:f>
        <x:v>2200239.5481720776</x:v>
      </x:c>
      <x:c r="N15" s="5" t="n">
        <x:f aca="0">M15/(E15/100)-M15</x:f>
        <x:v>2517255.1949069914</x:v>
      </x:c>
      <x:c r="O15" s="5" t="s">
        <x:v>104</x:v>
      </x:c>
      <x:c r="P15" s="5" t="s">
        <x:v>105</x:v>
      </x:c>
    </x:row>
    <x:row r="16" ht="15" hidden="0" customHeight="1">
      <x:c r="A16" s="5" t="s">
        <x:v>118</x:v>
      </x:c>
      <x:c r="B16" s="29" t="n">
        <x:v>505577</x:v>
      </x:c>
      <x:c r="C16" s="29" t="n">
        <x:v>168493</x:v>
      </x:c>
      <x:c r="D16" s="29" t="n">
        <x:v>40177</x:v>
      </x:c>
      <x:c r="E16" s="29" t="n">
        <x:v>47.1</x:v>
      </x:c>
      <x:c r="F16" s="29" t="n">
        <x:v>8812.67891345617</x:v>
      </x:c>
      <x:c r="G16" s="29" t="n">
        <x:v>4325</x:v>
      </x:c>
      <x:c r="H16" s="29" t="n">
        <x:v>0</x:v>
      </x:c>
      <x:c r="I16" s="29" t="n">
        <x:v>0</x:v>
      </x:c>
      <x:c r="J16" s="29" t="n">
        <x:v>0</x:v>
      </x:c>
      <x:c r="K16" s="29" t="n">
        <x:v>0</x:v>
      </x:c>
      <x:c r="L16" s="5" t="n">
        <x:f aca="0">H16*PARAMETRI!$B$10+I16*PARAMETRI!$B$11+J16*PARAMETRI!$B$12+K16*PARAMETRI!$B$13</x:f>
        <x:v>0</x:v>
      </x:c>
      <x:c r="M16" s="5" t="n">
        <x:f aca="0">B16/PARAMETRI!$B$21</x:f>
        <x:v>535238.010713606</x:v>
      </x:c>
      <x:c r="N16" s="5" t="n">
        <x:f aca="0">M16/(E16/100)-M16</x:f>
        <x:v>601148.4239225002</x:v>
      </x:c>
      <x:c r="O16" s="5" t="s">
        <x:v>104</x:v>
      </x:c>
      <x:c r="P16" s="5" t="s">
        <x:v>105</x:v>
      </x:c>
    </x:row>
    <x:row r="17" ht="15" hidden="0" customHeight="1">
      <x:c r="A17" s="5" t="s">
        <x:v>119</x:v>
      </x:c>
      <x:c r="B17" s="29" t="n">
        <x:v>127370</x:v>
      </x:c>
      <x:c r="C17" s="29" t="n">
        <x:v>34114</x:v>
      </x:c>
      <x:c r="D17" s="29" t="n">
        <x:v>21831</x:v>
      </x:c>
      <x:c r="E17" s="29" t="n">
        <x:v>47.99</x:v>
      </x:c>
      <x:c r="F17" s="29" t="n">
        <x:v>4788.55049803772</x:v>
      </x:c>
      <x:c r="G17" s="29" t="n">
        <x:v>1132</x:v>
      </x:c>
      <x:c r="H17" s="29" t="n">
        <x:v>0</x:v>
      </x:c>
      <x:c r="I17" s="29" t="n">
        <x:v>0</x:v>
      </x:c>
      <x:c r="J17" s="29" t="n">
        <x:v>0</x:v>
      </x:c>
      <x:c r="K17" s="29" t="n">
        <x:v>0</x:v>
      </x:c>
      <x:c r="L17" s="5" t="n">
        <x:f aca="0">H17*PARAMETRI!$B$10+I17*PARAMETRI!$B$11+J17*PARAMETRI!$B$12+K17*PARAMETRI!$B$13</x:f>
        <x:v>0</x:v>
      </x:c>
      <x:c r="M17" s="5" t="n">
        <x:f aca="0">B17/PARAMETRI!$B$21</x:f>
        <x:v>134842.49763061217</x:v>
      </x:c>
      <x:c r="N17" s="5" t="n">
        <x:f aca="0">M17/(E17/100)-M17</x:f>
        <x:v>146137.91001808998</x:v>
      </x:c>
      <x:c r="O17" s="5" t="s">
        <x:v>104</x:v>
      </x:c>
      <x:c r="P17" s="5" t="s">
        <x:v>105</x:v>
      </x:c>
    </x:row>
    <x:row r="18" ht="15" hidden="0" customHeight="1">
      <x:c r="A18" s="5" t="s">
        <x:v>120</x:v>
      </x:c>
      <x:c r="B18" s="29" t="n">
        <x:v>1979746</x:v>
      </x:c>
      <x:c r="C18" s="29" t="n">
        <x:v>384277</x:v>
      </x:c>
      <x:c r="D18" s="29" t="n">
        <x:v>114288</x:v>
      </x:c>
      <x:c r="E18" s="29" t="n">
        <x:v>44</x:v>
      </x:c>
      <x:c r="F18" s="29" t="n">
        <x:v>25068.6573826089</x:v>
      </x:c>
      <x:c r="G18" s="29" t="n">
        <x:v>12731</x:v>
      </x:c>
      <x:c r="H18" s="29" t="n">
        <x:v>1</x:v>
      </x:c>
      <x:c r="I18" s="29" t="n">
        <x:v>0</x:v>
      </x:c>
      <x:c r="J18" s="29" t="n">
        <x:v>0</x:v>
      </x:c>
      <x:c r="K18" s="29" t="n">
        <x:v>0</x:v>
      </x:c>
      <x:c r="L18" s="5" t="n">
        <x:f aca="0">H18*PARAMETRI!$B$10+I18*PARAMETRI!$B$11+J18*PARAMETRI!$B$12+K18*PARAMETRI!$B$13</x:f>
        <x:v>5</x:v>
      </x:c>
      <x:c r="M18" s="5" t="n">
        <x:f aca="0">B18/PARAMETRI!$B$21</x:f>
        <x:v>2095893.030652539</x:v>
      </x:c>
      <x:c r="N18" s="5" t="n">
        <x:f aca="0">M18/(E18/100)-M18</x:f>
        <x:v>2667500.220830505</x:v>
      </x:c>
      <x:c r="O18" s="5" t="s">
        <x:v>104</x:v>
      </x:c>
      <x:c r="P18" s="5" t="s">
        <x:v>105</x:v>
      </x:c>
    </x:row>
    <x:row r="19" ht="15" hidden="0" customHeight="1">
      <x:c r="A19" s="5" t="s">
        <x:v>121</x:v>
      </x:c>
      <x:c r="B19" s="29" t="n">
        <x:v>1366397</x:v>
      </x:c>
      <x:c r="C19" s="29" t="n">
        <x:v>368182</x:v>
      </x:c>
      <x:c r="D19" s="29" t="n">
        <x:v>84601</x:v>
      </x:c>
      <x:c r="E19" s="29" t="n">
        <x:v>43.61</x:v>
      </x:c>
      <x:c r="F19" s="29" t="n">
        <x:v>18556.9218397916</x:v>
      </x:c>
      <x:c r="G19" s="29" t="n">
        <x:v>13552</x:v>
      </x:c>
      <x:c r="H19" s="29" t="n">
        <x:v>1</x:v>
      </x:c>
      <x:c r="I19" s="29" t="n">
        <x:v>0</x:v>
      </x:c>
      <x:c r="J19" s="29" t="n">
        <x:v>0</x:v>
      </x:c>
      <x:c r="K19" s="29" t="n">
        <x:v>0</x:v>
      </x:c>
      <x:c r="L19" s="5" t="n">
        <x:f aca="0">H19*PARAMETRI!$B$10+I19*PARAMETRI!$B$11+J19*PARAMETRI!$B$12+K19*PARAMETRI!$B$13</x:f>
        <x:v>5</x:v>
      </x:c>
      <x:c r="M19" s="5" t="n">
        <x:f aca="0">B19/PARAMETRI!$B$21</x:f>
        <x:v>1446560.2907668648</x:v>
      </x:c>
      <x:c r="N19" s="5" t="n">
        <x:f aca="0">M19/(E19/100)-M19</x:f>
        <x:v>1870477.7527251437</x:v>
      </x:c>
      <x:c r="O19" s="5" t="s">
        <x:v>104</x:v>
      </x:c>
      <x:c r="P19" s="5" t="s">
        <x:v>105</x:v>
      </x:c>
    </x:row>
    <x:row r="20" ht="15" hidden="0" customHeight="1">
      <x:c r="A20" s="5" t="s">
        <x:v>122</x:v>
      </x:c>
      <x:c r="B20" s="29" t="n">
        <x:v>206237</x:v>
      </x:c>
      <x:c r="C20" s="29" t="n">
        <x:v>52594</x:v>
      </x:c>
      <x:c r="D20" s="29" t="n">
        <x:v>11192</x:v>
      </x:c>
      <x:c r="E20" s="29" t="n">
        <x:v>42.82</x:v>
      </x:c>
      <x:c r="F20" s="29" t="n">
        <x:v>2454.92451898851</x:v>
      </x:c>
      <x:c r="G20" s="29" t="n">
        <x:v>1297</x:v>
      </x:c>
      <x:c r="H20" s="29" t="n">
        <x:v>0</x:v>
      </x:c>
      <x:c r="I20" s="29" t="n">
        <x:v>0</x:v>
      </x:c>
      <x:c r="J20" s="29" t="n">
        <x:v>0</x:v>
      </x:c>
      <x:c r="K20" s="29" t="n">
        <x:v>2</x:v>
      </x:c>
      <x:c r="L20" s="5" t="n">
        <x:f aca="0">H20*PARAMETRI!$B$10+I20*PARAMETRI!$B$11+J20*PARAMETRI!$B$12+K20*PARAMETRI!$B$13</x:f>
        <x:v>2</x:v>
      </x:c>
      <x:c r="M20" s="5" t="n">
        <x:f aca="0">B20/PARAMETRI!$B$21</x:f>
        <x:v>218336.43859499536</x:v>
      </x:c>
      <x:c r="N20" s="5" t="n">
        <x:f aca="0">M20/(E20/100)-M20</x:f>
        <x:v>291557.1592447883</x:v>
      </x:c>
      <x:c r="O20" s="5" t="s">
        <x:v>104</x:v>
      </x:c>
      <x:c r="P20" s="5" t="s">
        <x:v>105</x:v>
      </x:c>
    </x:row>
    <x:row r="21" ht="15" hidden="0" customHeight="1">
      <x:c r="A21" s="5" t="s">
        <x:v>123</x:v>
      </x:c>
      <x:c r="B21" s="29" t="n">
        <x:v>642590</x:v>
      </x:c>
      <x:c r="C21" s="29" t="n">
        <x:v>132167</x:v>
      </x:c>
      <x:c r="D21" s="29" t="n">
        <x:v>59062</x:v>
      </x:c>
      <x:c r="E21" s="29" t="n">
        <x:v>40.29</x:v>
      </x:c>
      <x:c r="F21" s="29" t="n">
        <x:v>12955.0350197015</x:v>
      </x:c>
      <x:c r="G21" s="29" t="n">
        <x:v>6169</x:v>
      </x:c>
      <x:c r="H21" s="29" t="n">
        <x:v>1</x:v>
      </x:c>
      <x:c r="I21" s="29" t="n">
        <x:v>1</x:v>
      </x:c>
      <x:c r="J21" s="29" t="n">
        <x:v>0</x:v>
      </x:c>
      <x:c r="K21" s="29" t="n">
        <x:v>2</x:v>
      </x:c>
      <x:c r="L21" s="5" t="n">
        <x:f aca="0">H21*PARAMETRI!$B$10+I21*PARAMETRI!$B$11+J21*PARAMETRI!$B$12+K21*PARAMETRI!$B$13</x:f>
        <x:v>10</x:v>
      </x:c>
      <x:c r="M21" s="5" t="n">
        <x:f aca="0">B21/PARAMETRI!$B$21</x:f>
        <x:v>680289.2404212536</x:v>
      </x:c>
      <x:c r="N21" s="5" t="n">
        <x:f aca="0">M21/(E21/100)-M21</x:f>
        <x:v>1008192.3689638387</x:v>
      </x:c>
      <x:c r="O21" s="5" t="s">
        <x:v>104</x:v>
      </x:c>
      <x:c r="P21" s="5" t="s">
        <x:v>105</x:v>
      </x:c>
    </x:row>
    <x:row r="22" ht="15" hidden="0" customHeight="1">
      <x:c r="A22" s="5" t="s">
        <x:v>124</x:v>
      </x:c>
      <x:c r="B22" s="29" t="n">
        <x:v>1499044</x:v>
      </x:c>
      <x:c r="C22" s="29" t="n">
        <x:v>302644</x:v>
      </x:c>
      <x:c r="D22" s="29" t="n">
        <x:v>111976</x:v>
      </x:c>
      <x:c r="E22" s="29" t="n">
        <x:v>38</x:v>
      </x:c>
      <x:c r="F22" s="29" t="n">
        <x:v>20095.985987314</x:v>
      </x:c>
      <x:c r="G22" s="29" t="n">
        <x:v>10983</x:v>
      </x:c>
      <x:c r="H22" s="29" t="n">
        <x:v>1</x:v>
      </x:c>
      <x:c r="I22" s="29" t="n">
        <x:v>0</x:v>
      </x:c>
      <x:c r="J22" s="29" t="n">
        <x:v>0</x:v>
      </x:c>
      <x:c r="K22" s="29" t="n">
        <x:v>0</x:v>
      </x:c>
      <x:c r="L22" s="5" t="n">
        <x:f aca="0">H22*PARAMETRI!$B$10+I22*PARAMETRI!$B$11+J22*PARAMETRI!$B$12+K22*PARAMETRI!$B$13</x:f>
        <x:v>5</x:v>
      </x:c>
      <x:c r="M22" s="5" t="n">
        <x:f aca="0">B22/PARAMETRI!$B$21</x:f>
        <x:v>1586989.3775471726</x:v>
      </x:c>
      <x:c r="N22" s="5" t="n">
        <x:f aca="0">M22/(E22/100)-M22</x:f>
        <x:v>2589298.4581032814</x:v>
      </x:c>
      <x:c r="O22" s="5" t="s">
        <x:v>104</x:v>
      </x:c>
      <x:c r="P22" s="5" t="s">
        <x:v>105</x:v>
      </x:c>
    </x:row>
    <x:row r="23" ht="15" hidden="0" customHeight="1">
      <x:c r="A23" s="5" t="s">
        <x:v>125</x:v>
      </x:c>
      <x:c r="B23" s="29" t="n">
        <x:v>475829</x:v>
      </x:c>
      <x:c r="C23" s="29" t="n">
        <x:v>117857</x:v>
      </x:c>
      <x:c r="D23" s="29" t="n">
        <x:v>26426</x:v>
      </x:c>
      <x:c r="E23" s="29" t="n">
        <x:v>36.89</x:v>
      </x:c>
      <x:c r="F23" s="29" t="n">
        <x:v>15162</x:v>
      </x:c>
      <x:c r="G23" s="29" t="n">
        <x:v>5096</x:v>
      </x:c>
      <x:c r="H23" s="29" t="n">
        <x:v>0</x:v>
      </x:c>
      <x:c r="I23" s="29" t="n">
        <x:v>0</x:v>
      </x:c>
      <x:c r="J23" s="29" t="n">
        <x:v>0</x:v>
      </x:c>
      <x:c r="K23" s="29" t="n">
        <x:v>0</x:v>
      </x:c>
      <x:c r="L23" s="5" t="n">
        <x:f aca="0">H23*PARAMETRI!$B$10+I23*PARAMETRI!$B$11+J23*PARAMETRI!$B$12+K23*PARAMETRI!$B$13</x:f>
        <x:v>0</x:v>
      </x:c>
      <x:c r="M23" s="5" t="n">
        <x:f aca="0">B23/PARAMETRI!$B$21</x:f>
        <x:v>503744.76568325784</x:v>
      </x:c>
      <x:c r="N23" s="5" t="n">
        <x:f aca="0">M23/(E23/100)-M23</x:f>
        <x:v>861787.2638186609</x:v>
      </x:c>
      <x:c r="O23" s="5" t="s">
        <x:v>109</x:v>
      </x:c>
      <x:c r="P23" s="5" t="s">
        <x:v>105</x:v>
      </x:c>
    </x:row>
    <x:row r="25" ht="15" hidden="0" customHeight="1">
      <x:c r="A25" s="30" t="s">
        <x:v>126</x:v>
      </x:c>
      <x:c r="B25" s="30" t="n">
        <x:f aca="0">SUM(B4:B23)</x:f>
        <x:v>23257062</x:v>
      </x:c>
      <x:c r="C25" s="30" t="n">
        <x:f aca="0">SUM(C4:C23)</x:f>
        <x:v>6703835</x:v>
      </x:c>
      <x:c r="D25" s="30" t="n">
        <x:f aca="0">SUM(D4:D23)</x:f>
        <x:v>2095040</x:v>
      </x:c>
      <x:c r="E25" s="30" t="str">
        <x:f aca="0">""</x:f>
      </x:c>
      <x:c r="F25" s="30" t="n">
        <x:f aca="0">SUM(F4:F23)</x:f>
        <x:v>532368.0000000002</x:v>
      </x:c>
      <x:c r="G25" s="30" t="n">
        <x:f aca="0">SUM(G4:G23)</x:f>
        <x:v>156456</x:v>
      </x:c>
      <x:c r="H25" s="30" t="n">
        <x:f aca="0">SUM(H4:H23)</x:f>
        <x:v>9</x:v>
      </x:c>
      <x:c r="I25" s="30" t="n">
        <x:f aca="0">SUM(I4:I23)</x:f>
        <x:v>7</x:v>
      </x:c>
      <x:c r="J25" s="30" t="n">
        <x:f aca="0">SUM(J4:J23)</x:f>
        <x:v>3</x:v>
      </x:c>
      <x:c r="K25" s="30" t="n">
        <x:f aca="0">SUM(K4:K23)</x:f>
        <x:v>19</x:v>
      </x:c>
      <x:c r="L25" s="30" t="n">
        <x:f aca="0">SUM(L4:L23)</x:f>
        <x:v>91</x:v>
      </x:c>
      <x:c r="M25" s="30" t="n">
        <x:f aca="0">SUM(M4:M23)</x:f>
        <x:v>24621499</x:v>
      </x:c>
      <x:c r="N25" s="30" t="n">
        <x:f aca="0">SUM(N4:N23)</x:f>
        <x:v>24888141.277803544</x:v>
      </x:c>
      <x:c r="O25" s="30"/>
      <x:c r="P25" s="30"/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ColWidth="8.6796875" defaultRowHeight="15"/>
  <x:cols>
    <x:col min="1" max="1" width="26" style="5" hidden="0" customWidth="1"/>
    <x:col min="2" max="14" width="16" style="5" hidden="0" customWidth="1"/>
  </x:cols>
  <x:sheetData>
    <x:row r="1" ht="36" hidden="0" customHeight="1">
      <x:c r="A1" s="6" t="s">
        <x:v>127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4.75" hidden="0" customHeight="1">
      <x:c r="A2" s="7" t="s">
        <x:v>128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3.75" hidden="0" customHeight="1">
      <x:c r="A3" s="8" t="s">
        <x:v>87</x:v>
      </x:c>
      <x:c r="B3" s="8" t="s">
        <x:v>129</x:v>
      </x:c>
      <x:c r="C3" s="8" t="s">
        <x:v>130</x:v>
      </x:c>
      <x:c r="D3" s="8" t="s">
        <x:v>131</x:v>
      </x:c>
      <x:c r="E3" s="8" t="s">
        <x:v>132</x:v>
      </x:c>
      <x:c r="F3" s="8" t="s">
        <x:v>133</x:v>
      </x:c>
      <x:c r="G3" s="8" t="s">
        <x:v>134</x:v>
      </x:c>
      <x:c r="H3" s="8" t="s">
        <x:v>135</x:v>
      </x:c>
      <x:c r="I3" s="8" t="s">
        <x:v>136</x:v>
      </x:c>
      <x:c r="J3" s="8" t="s">
        <x:v>137</x:v>
      </x:c>
      <x:c r="K3" s="8" t="s">
        <x:v>138</x:v>
      </x:c>
      <x:c r="L3" s="8" t="s">
        <x:v>139</x:v>
      </x:c>
      <x:c r="M3" s="8" t="s">
        <x:v>140</x:v>
      </x:c>
      <x:c r="N3" s="8" t="s">
        <x:v>141</x:v>
      </x:c>
    </x:row>
    <x:row r="4" ht="15" hidden="0" customHeight="1">
      <x:c r="A4" s="5" t="s">
        <x:v>103</x:v>
      </x:c>
      <x:c r="B4" s="31" t="n">
        <x:f aca="0">DATI!B4/SUM(DATI!$B$4:$B$23)</x:f>
        <x:v>0.08048884248577916</x:v>
      </x:c>
      <x:c r="C4" s="31" t="n">
        <x:f aca="0">PARAMETRI!$B$15*DATI!C4/SUM(DATI!$C$4:$C$23)+PARAMETRI!$B$16*DATI!D4/SUM(DATI!$D$4:$D$23)+PARAMETRI!$B$17*DATI!N4/SUM(DATI!$N$4:$N$23)+PARAMETRI!$B$18*B4</x:f>
        <x:v>0.07775620104421713</x:v>
      </x:c>
      <x:c r="D4" s="31" t="n">
        <x:f aca="0">DATI!F4/SUM(DATI!$F$4:$F$23)</x:f>
        <x:v>0.09238487395171983</x:v>
      </x:c>
      <x:c r="E4" s="31" t="n">
        <x:f aca="0">DATI!G4/SUM(DATI!$G$4:$G$23)</x:f>
        <x:v>0.07354783453494912</x:v>
      </x:c>
      <x:c r="F4" s="31" t="n">
        <x:f aca="0">(DATI!L4+PARAMETRI!$B$14*B4)/(SUM(DATI!$L$4:$L$23)+PARAMETRI!$B$14)</x:f>
        <x:v>0.11086500226920144</x:v>
      </x:c>
      <x:c r="G4" s="31" t="n">
        <x:f aca="0">PARAMETRI!$B$5*C4+PARAMETRI!$B$6*D4+PARAMETRI!$B$7*E4+PARAMETRI!$B$8*F4</x:f>
        <x:v>0.08532759782752344</x:v>
      </x:c>
      <x:c r="H4" s="5" t="n">
        <x:f aca="0">G4/B4</x:f>
        <x:v>1.0601170943985088</x:v>
      </x:c>
      <x:c r="I4" s="26" t="n">
        <x:f aca="0">PARAMETRI!$B$4*H4</x:f>
        <x:v>0.07632843079669263</x:v>
      </x:c>
      <x:c r="J4" s="26" t="n">
        <x:f aca="0">(DATI!C4+DATI!D4)/(SUM(DATI!$C$4:$C$23)+SUM(DATI!$D$4:$D$23))</x:f>
        <x:v>0.08667585344717364</x:v>
      </x:c>
      <x:c r="K4" s="26" t="n">
        <x:f aca="0">PARAMETRI!$B$4*J4/B4</x:f>
        <x:v>0.07753449118490066</x:v>
      </x:c>
      <x:c r="L4" s="32" t="n">
        <x:f aca="0">PARAMETRI!$B$4*G4*SUM(DATI!$B$4:$B$23)</x:f>
        <x:v>142881.784774976</x:v>
      </x:c>
      <x:c r="M4" s="5" t="n">
        <x:f aca="0">IF(G4&gt;0,-G4*LN(G4),0)</x:f>
        <x:v>0.21001317632003647</x:v>
      </x:c>
      <x:c r="N4" s="5" t="n">
        <x:f aca="0">IF(AND(G4&gt;0,J4&gt;0),0.5*(G4*LN(G4/((G4+J4)/2))+J4*LN(J4/((G4+J4)/2))),0)</x:f>
        <x:v>0.0000026421153440850517</x:v>
      </x:c>
    </x:row>
    <x:row r="5" ht="15" hidden="0" customHeight="1">
      <x:c r="A5" s="5" t="s">
        <x:v>106</x:v>
      </x:c>
      <x:c r="B5" s="31" t="n">
        <x:f aca="0">DATI!B5/SUM(DATI!$B$4:$B$23)</x:f>
        <x:v>0.0017167688678819363</x:v>
      </x:c>
      <x:c r="C5" s="31" t="n">
        <x:f aca="0">PARAMETRI!$B$15*DATI!C5/SUM(DATI!$C$4:$C$23)+PARAMETRI!$B$16*DATI!D5/SUM(DATI!$D$4:$D$23)+PARAMETRI!$B$17*DATI!N5/SUM(DATI!$N$4:$N$23)+PARAMETRI!$B$18*B5</x:f>
        <x:v>0.001833642341798658</x:v>
      </x:c>
      <x:c r="D5" s="31" t="n">
        <x:f aca="0">DATI!F5/SUM(DATI!$F$4:$F$23)</x:f>
        <x:v>0.001693781001703584</x:v>
      </x:c>
      <x:c r="E5" s="31" t="n">
        <x:f aca="0">DATI!G5/SUM(DATI!$G$4:$G$23)</x:f>
        <x:v>0.0013741882701845886</x:v>
      </x:c>
      <x:c r="F5" s="31" t="n">
        <x:f aca="0">(DATI!L5+PARAMETRI!$B$14*B5)/(SUM(DATI!$L$4:$L$23)+PARAMETRI!$B$14)</x:f>
        <x:v>0.00042564517385502553</x:v>
      </x:c>
      <x:c r="G5" s="31" t="n">
        <x:f aca="0">PARAMETRI!$B$5*C5+PARAMETRI!$B$6*D5+PARAMETRI!$B$7*E5+PARAMETRI!$B$8*F5</x:f>
        <x:v>0.0014726139136798271</x:v>
      </x:c>
      <x:c r="H5" s="5" t="n">
        <x:f aca="0">G5/B5</x:f>
        <x:v>0.8577822799738118</x:v>
      </x:c>
      <x:c r="I5" s="26" t="n">
        <x:f aca="0">PARAMETRI!$B$4*H5</x:f>
        <x:v>0.06176032415811445</x:v>
      </x:c>
      <x:c r="J5" s="26" t="n">
        <x:f aca="0">(DATI!C5+DATI!D5)/(SUM(DATI!$C$4:$C$23)+SUM(DATI!$D$4:$D$23))</x:f>
        <x:v>0.0015045105198107712</x:v>
      </x:c>
      <x:c r="K5" s="26" t="n">
        <x:f aca="0">PARAMETRI!$B$4*J5/B5</x:f>
        <x:v>0.06309804392015868</x:v>
      </x:c>
      <x:c r="L5" s="32" t="n">
        <x:f aca="0">PARAMETRI!$B$4*G5*SUM(DATI!$B$4:$B$23)</x:f>
        <x:v>2465.9044626610357</x:v>
      </x:c>
      <x:c r="M5" s="5" t="n">
        <x:f aca="0">IF(G5&gt;0,-G5*LN(G5),0)</x:f>
        <x:v>0.009602497528004005</x:v>
      </x:c>
      <x:c r="N5" s="5" t="n">
        <x:f aca="0">IF(AND(G5&gt;0,J5&gt;0),0.5*(G5*LN(G5/((G5+J5)/2))+J5*LN(J5/((G5+J5)/2))),0)</x:f>
        <x:v>8.54358769948624e-8</x:v>
      </x:c>
    </x:row>
    <x:row r="6" ht="15" hidden="0" customHeight="1">
      <x:c r="A6" s="5" t="s">
        <x:v>107</x:v>
      </x:c>
      <x:c r="B6" s="31" t="n">
        <x:f aca="0">DATI!B6/SUM(DATI!$B$4:$B$23)</x:f>
        <x:v>0.026900259370680614</x:v>
      </x:c>
      <x:c r="C6" s="31" t="n">
        <x:f aca="0">PARAMETRI!$B$15*DATI!C6/SUM(DATI!$C$4:$C$23)+PARAMETRI!$B$16*DATI!D6/SUM(DATI!$D$4:$D$23)+PARAMETRI!$B$17*DATI!N6/SUM(DATI!$N$4:$N$23)+PARAMETRI!$B$18*B6</x:f>
        <x:v>0.025877301000989877</x:v>
      </x:c>
      <x:c r="D6" s="31" t="n">
        <x:f aca="0">DATI!F6/SUM(DATI!$F$4:$F$23)</x:f>
        <x:v>0.026628882980942684</x:v>
      </x:c>
      <x:c r="E6" s="31" t="n">
        <x:f aca="0">DATI!G6/SUM(DATI!$G$4:$G$23)</x:f>
        <x:v>0.031670245947742495</x:v>
      </x:c>
      <x:c r="F6" s="31" t="n">
        <x:f aca="0">(DATI!L6+PARAMETRI!$B$14*B6)/(SUM(DATI!$L$4:$L$23)+PARAMETRI!$B$14)</x:f>
        <x:v>0.03972733703405305</x:v>
      </x:c>
      <x:c r="G6" s="31" t="n">
        <x:f aca="0">PARAMETRI!$B$5*C6+PARAMETRI!$B$6*D6+PARAMETRI!$B$7*E6+PARAMETRI!$B$8*F6</x:f>
        <x:v>0.02959093813762571</x:v>
      </x:c>
      <x:c r="H6" s="5" t="n">
        <x:f aca="0">G6/B6</x:f>
        <x:v>1.100024268534665</x:v>
      </x:c>
      <x:c r="I6" s="26" t="n">
        <x:f aca="0">PARAMETRI!$B$4*H6</x:f>
        <x:v>0.07920174733449588</x:v>
      </x:c>
      <x:c r="J6" s="26" t="n">
        <x:f aca="0">(DATI!C6+DATI!D6)/(SUM(DATI!$C$4:$C$23)+SUM(DATI!$D$4:$D$23))</x:f>
        <x:v>0.025351877370686594</x:v>
      </x:c>
      <x:c r="K6" s="26" t="n">
        <x:f aca="0">PARAMETRI!$B$4*J6/B6</x:f>
        <x:v>0.06785567178132569</x:v>
      </x:c>
      <x:c r="L6" s="32" t="n">
        <x:f aca="0">PARAMETRI!$B$4*G6*SUM(DATI!$B$4:$B$23)</x:f>
        <x:v>49550.27636915465</x:v>
      </x:c>
      <x:c r="M6" s="5" t="n">
        <x:f aca="0">IF(G6&gt;0,-G6*LN(G6),0)</x:f>
        <x:v>0.10416859805498226</x:v>
      </x:c>
      <x:c r="N6" s="5" t="n">
        <x:f aca="0">IF(AND(G6&gt;0,J6&gt;0),0.5*(G6*LN(G6/((G6+J6)/2))+J6*LN(J6/((G6+J6)/2))),0)</x:f>
        <x:v>0.00008184649222858819</x:v>
      </x:c>
    </x:row>
    <x:row r="7" ht="15" hidden="0" customHeight="1">
      <x:c r="A7" s="5" t="s">
        <x:v>108</x:v>
      </x:c>
      <x:c r="B7" s="31" t="n">
        <x:f aca="0">DATI!B7/SUM(DATI!$B$4:$B$23)</x:f>
        <x:v>0.1807333617634076</x:v>
      </x:c>
      <x:c r="C7" s="31" t="n">
        <x:f aca="0">PARAMETRI!$B$15*DATI!C7/SUM(DATI!$C$4:$C$23)+PARAMETRI!$B$16*DATI!D7/SUM(DATI!$D$4:$D$23)+PARAMETRI!$B$17*DATI!N7/SUM(DATI!$N$4:$N$23)+PARAMETRI!$B$18*B7</x:f>
        <x:v>0.19395110375962715</x:v>
      </x:c>
      <x:c r="D7" s="31" t="n">
        <x:f aca="0">DATI!F7/SUM(DATI!$F$4:$F$23)</x:f>
        <x:v>0.2303068554082889</x:v>
      </x:c>
      <x:c r="E7" s="31" t="n">
        <x:f aca="0">DATI!G7/SUM(DATI!$G$4:$G$23)</x:f>
        <x:v>0.15143554737434167</x:v>
      </x:c>
      <x:c r="F7" s="31" t="n">
        <x:f aca="0">(DATI!L7+PARAMETRI!$B$14*B7)/(SUM(DATI!$L$4:$L$23)+PARAMETRI!$B$14)</x:f>
        <x:v>0.1853057921727457</x:v>
      </x:c>
      <x:c r="G7" s="31" t="n">
        <x:f aca="0">PARAMETRI!$B$5*C7+PARAMETRI!$B$6*D7+PARAMETRI!$B$7*E7+PARAMETRI!$B$8*F7</x:f>
        <x:v>0.19111435583743897</x:v>
      </x:c>
      <x:c r="H7" s="5" t="n">
        <x:f aca="0">G7/B7</x:f>
        <x:v>1.0574381728572104</x:v>
      </x:c>
      <x:c r="I7" s="26" t="n">
        <x:f aca="0">PARAMETRI!$B$4*H7</x:f>
        <x:v>0.07613554844571914</x:v>
      </x:c>
      <x:c r="J7" s="26" t="n">
        <x:f aca="0">(DATI!C7+DATI!D7)/(SUM(DATI!$C$4:$C$23)+SUM(DATI!$D$4:$D$23))</x:f>
        <x:v>0.21439263542214204</x:v>
      </x:c>
      <x:c r="K7" s="26" t="n">
        <x:f aca="0">PARAMETRI!$B$4*J7/B7</x:f>
        <x:v>0.08540907776950094</x:v>
      </x:c>
      <x:c r="L7" s="32" t="n">
        <x:f aca="0">PARAMETRI!$B$4*G7*SUM(DATI!$B$4:$B$23)</x:f>
        <x:v>320022.6064416993</x:v>
      </x:c>
      <x:c r="M7" s="5" t="n">
        <x:f aca="0">IF(G7&gt;0,-G7*LN(G7),0)</x:f>
        <x:v>0.31627195747784326</x:v>
      </x:c>
      <x:c r="N7" s="5" t="n">
        <x:f aca="0">IF(AND(G7&gt;0,J7&gt;0),0.5*(G7*LN(G7/((G7+J7)/2))+J7*LN(J7/((G7+J7)/2))),0)</x:f>
        <x:v>0.0003342582992571395</x:v>
      </x:c>
    </x:row>
    <x:row r="8" ht="15" hidden="0" customHeight="1">
      <x:c r="A8" s="5" t="s">
        <x:v>110</x:v>
      </x:c>
      <x:c r="B8" s="31" t="n">
        <x:f aca="0">DATI!B8/SUM(DATI!$B$4:$B$23)</x:f>
        <x:v>0.017272216069252427</x:v>
      </x:c>
      <x:c r="C8" s="31" t="n">
        <x:f aca="0">PARAMETRI!$B$15*DATI!C8/SUM(DATI!$C$4:$C$23)+PARAMETRI!$B$16*DATI!D8/SUM(DATI!$D$4:$D$23)+PARAMETRI!$B$17*DATI!N8/SUM(DATI!$N$4:$N$23)+PARAMETRI!$B$18*B8</x:f>
        <x:v>0.015571528855626224</x:v>
      </x:c>
      <x:c r="D8" s="31" t="n">
        <x:f aca="0">DATI!F8/SUM(DATI!$F$4:$F$23)</x:f>
        <x:v>0.016036084262066288</x:v>
      </x:c>
      <x:c r="E8" s="31" t="n">
        <x:f aca="0">DATI!G8/SUM(DATI!$G$4:$G$23)</x:f>
        <x:v>0.011996983177378944</x:v>
      </x:c>
      <x:c r="F8" s="31" t="n">
        <x:f aca="0">(DATI!L8+PARAMETRI!$B$14*B8)/(SUM(DATI!$L$4:$L$23)+PARAMETRI!$B$14)</x:f>
        <x:v>0.02081129324031052</x:v>
      </x:c>
      <x:c r="G8" s="31" t="n">
        <x:f aca="0">PARAMETRI!$B$5*C8+PARAMETRI!$B$6*D8+PARAMETRI!$B$7*E8+PARAMETRI!$B$8*F8</x:f>
        <x:v>0.015579995945377066</x:v>
      </x:c>
      <x:c r="H8" s="5" t="n">
        <x:f aca="0">G8/B8</x:f>
        <x:v>0.9020264616253957</x:v>
      </x:c>
      <x:c r="I8" s="26" t="n">
        <x:f aca="0">PARAMETRI!$B$4*H8</x:f>
        <x:v>0.06494590523702848</x:v>
      </x:c>
      <x:c r="J8" s="26" t="n">
        <x:f aca="0">(DATI!C8+DATI!D8)/(SUM(DATI!$C$4:$C$23)+SUM(DATI!$D$4:$D$23))</x:f>
        <x:v>0.01236533079513006</x:v>
      </x:c>
      <x:c r="K8" s="26" t="n">
        <x:f aca="0">PARAMETRI!$B$4*J8/B8</x:f>
        <x:v>0.05154543074726011</x:v>
      </x:c>
      <x:c r="L8" s="32" t="n">
        <x:f aca="0">PARAMETRI!$B$4*G8*SUM(DATI!$B$4:$B$23)</x:f>
        <x:v>26088.835079619577</x:v>
      </x:c>
      <x:c r="M8" s="5" t="n">
        <x:f aca="0">IF(G8&gt;0,-G8*LN(G8),0)</x:f>
        <x:v>0.06484032075667147</x:v>
      </x:c>
      <x:c r="N8" s="5" t="n">
        <x:f aca="0">IF(AND(G8&gt;0,J8&gt;0),0.5*(G8*LN(G8/((G8+J8)/2))+J8*LN(J8/((G8+J8)/2))),0)</x:f>
        <x:v>0.00009265399853505797</x:v>
      </x:c>
    </x:row>
    <x:row r="9" ht="15" hidden="0" customHeight="1">
      <x:c r="A9" s="5" t="s">
        <x:v>111</x:v>
      </x:c>
      <x:c r="B9" s="31" t="n">
        <x:f aca="0">DATI!B9/SUM(DATI!$B$4:$B$23)</x:f>
        <x:v>0.08862632777949339</x:v>
      </x:c>
      <x:c r="C9" s="31" t="n">
        <x:f aca="0">PARAMETRI!$B$15*DATI!C9/SUM(DATI!$C$4:$C$23)+PARAMETRI!$B$16*DATI!D9/SUM(DATI!$D$4:$D$23)+PARAMETRI!$B$17*DATI!N9/SUM(DATI!$N$4:$N$23)+PARAMETRI!$B$18*B9</x:f>
        <x:v>0.10370893784000554</x:v>
      </x:c>
      <x:c r="D9" s="31" t="n">
        <x:f aca="0">DATI!F9/SUM(DATI!$F$4:$F$23)</x:f>
        <x:v>0.14374689100056798</x:v>
      </x:c>
      <x:c r="E9" s="31" t="n">
        <x:f aca="0">DATI!G9/SUM(DATI!$G$4:$G$23)</x:f>
        <x:v>0.10192002863424861</x:v>
      </x:c>
      <x:c r="F9" s="31" t="n">
        <x:f aca="0">(DATI!L9+PARAMETRI!$B$14*B9)/(SUM(DATI!$L$4:$L$23)+PARAMETRI!$B$14)</x:f>
        <x:v>0.10461809779656861</x:v>
      </x:c>
      <x:c r="G9" s="31" t="n">
        <x:f aca="0">PARAMETRI!$B$5*C9+PARAMETRI!$B$6*D9+PARAMETRI!$B$7*E9+PARAMETRI!$B$8*F9</x:f>
        <x:v>0.11340757282219135</x:v>
      </x:c>
      <x:c r="H9" s="5" t="n">
        <x:f aca="0">G9/B9</x:f>
        <x:v>1.2796149368205225</x:v>
      </x:c>
      <x:c r="I9" s="26" t="n">
        <x:f aca="0">PARAMETRI!$B$4*H9</x:f>
        <x:v>0.09213227545107762</x:v>
      </x:c>
      <x:c r="J9" s="26" t="n">
        <x:f aca="0">(DATI!C9+DATI!D9)/(SUM(DATI!$C$4:$C$23)+SUM(DATI!$D$4:$D$23))</x:f>
        <x:v>0.11885223963290761</x:v>
      </x:c>
      <x:c r="K9" s="26" t="n">
        <x:f aca="0">PARAMETRI!$B$4*J9/B9</x:f>
        <x:v>0.09655552100568217</x:v>
      </x:c>
      <x:c r="L9" s="32" t="n">
        <x:f aca="0">PARAMETRI!$B$4*G9*SUM(DATI!$B$4:$B$23)</x:f>
        <x:v>189901.9405724558</x:v>
      </x:c>
      <x:c r="M9" s="5" t="n">
        <x:f aca="0">IF(G9&gt;0,-G9*LN(G9),0)</x:f>
        <x:v>0.24686187456480457</x:v>
      </x:c>
      <x:c r="N9" s="5" t="n">
        <x:f aca="0">IF(AND(G9&gt;0,J9&gt;0),0.5*(G9*LN(G9/((G9+J9)/2))+J9*LN(J9/((G9+J9)/2))),0)</x:f>
        <x:v>0.000031911582188266265</x:v>
      </x:c>
    </x:row>
    <x:row r="10" ht="15" hidden="0" customHeight="1">
      <x:c r="A10" s="5" t="s">
        <x:v>112</x:v>
      </x:c>
      <x:c r="B10" s="31" t="n">
        <x:f aca="0">DATI!B10/SUM(DATI!$B$4:$B$23)</x:f>
        <x:v>0.020784568575342836</x:v>
      </x:c>
      <x:c r="C10" s="31" t="n">
        <x:f aca="0">PARAMETRI!$B$15*DATI!C10/SUM(DATI!$C$4:$C$23)+PARAMETRI!$B$16*DATI!D10/SUM(DATI!$D$4:$D$23)+PARAMETRI!$B$17*DATI!N10/SUM(DATI!$N$4:$N$23)+PARAMETRI!$B$18*B10</x:f>
        <x:v>0.02579888426455013</x:v>
      </x:c>
      <x:c r="D10" s="31" t="n">
        <x:f aca="0">DATI!F10/SUM(DATI!$F$4:$F$23)</x:f>
        <x:v>0.03825375879442132</x:v>
      </x:c>
      <x:c r="E10" s="31" t="n">
        <x:f aca="0">DATI!G10/SUM(DATI!$G$4:$G$23)</x:f>
        <x:v>0.024045098941555453</x:v>
      </x:c>
      <x:c r="F10" s="31" t="n">
        <x:f aca="0">(DATI!L10+PARAMETRI!$B$14*B10)/(SUM(DATI!$L$4:$L$23)+PARAMETRI!$B$14)</x:f>
        <x:v>0.005153198820332935</x:v>
      </x:c>
      <x:c r="G10" s="31" t="n">
        <x:f aca="0">PARAMETRI!$B$5*C10+PARAMETRI!$B$6*D10+PARAMETRI!$B$7*E10+PARAMETRI!$B$8*F10</x:f>
        <x:v>0.025377303749636676</x:v>
      </x:c>
      <x:c r="H10" s="5" t="n">
        <x:f aca="0">G10/B10</x:f>
        <x:v>1.2209685112127993</x:v>
      </x:c>
      <x:c r="I10" s="26" t="n">
        <x:f aca="0">PARAMETRI!$B$4*H10</x:f>
        <x:v>0.08790973280732153</x:v>
      </x:c>
      <x:c r="J10" s="26" t="n">
        <x:f aca="0">(DATI!C10+DATI!D10)/(SUM(DATI!$C$4:$C$23)+SUM(DATI!$D$4:$D$23))</x:f>
        <x:v>0.02687752695657115</x:v>
      </x:c>
      <x:c r="K10" s="26" t="n">
        <x:f aca="0">PARAMETRI!$B$4*J10/B10</x:f>
        <x:v>0.09310666872195121</x:v>
      </x:c>
      <x:c r="L10" s="32" t="n">
        <x:f aca="0">PARAMETRI!$B$4*G10*SUM(DATI!$B$4:$B$23)</x:f>
        <x:v>42494.50992226555</x:v>
      </x:c>
      <x:c r="M10" s="5" t="n">
        <x:f aca="0">IF(G10&gt;0,-G10*LN(G10),0)</x:f>
        <x:v>0.09323367770696864</x:v>
      </x:c>
      <x:c r="N10" s="5" t="n">
        <x:f aca="0">IF(AND(G10&gt;0,J10&gt;0),0.5*(G10*LN(G10/((G10+J10)/2))+J10*LN(J10/((G10+J10)/2))),0)</x:f>
        <x:v>0.000010769238594166822</x:v>
      </x:c>
    </x:row>
    <x:row r="11" ht="15" hidden="0" customHeight="1">
      <x:c r="A11" s="5" t="s">
        <x:v>113</x:v>
      </x:c>
      <x:c r="B11" s="31" t="n">
        <x:f aca="0">DATI!B11/SUM(DATI!$B$4:$B$23)</x:f>
        <x:v>0.08531047472806325</x:v>
      </x:c>
      <x:c r="C11" s="31" t="n">
        <x:f aca="0">PARAMETRI!$B$15*DATI!C11/SUM(DATI!$C$4:$C$23)+PARAMETRI!$B$16*DATI!D11/SUM(DATI!$D$4:$D$23)+PARAMETRI!$B$17*DATI!N11/SUM(DATI!$N$4:$N$23)+PARAMETRI!$B$18*B11</x:f>
        <x:v>0.06897385576998885</x:v>
      </x:c>
      <x:c r="D11" s="31" t="n">
        <x:f aca="0">DATI!F11/SUM(DATI!$F$4:$F$23)</x:f>
        <x:v>0.06816661195226871</x:v>
      </x:c>
      <x:c r="E11" s="31" t="n">
        <x:f aca="0">DATI!G11/SUM(DATI!$G$4:$G$23)</x:f>
        <x:v>0.060112747353888635</x:v>
      </x:c>
      <x:c r="F11" s="31" t="n">
        <x:f aca="0">(DATI!L11+PARAMETRI!$B$14*B11)/(SUM(DATI!$L$4:$L$23)+PARAMETRI!$B$14)</x:f>
        <x:v>0.07073813423009832</x:v>
      </x:c>
      <x:c r="G11" s="31" t="n">
        <x:f aca="0">PARAMETRI!$B$5*C11+PARAMETRI!$B$6*D11+PARAMETRI!$B$7*E11+PARAMETRI!$B$8*F11</x:f>
        <x:v>0.06682140948055018</x:v>
      </x:c>
      <x:c r="H11" s="5" t="n">
        <x:f aca="0">G11/B11</x:f>
        <x:v>0.7832732110980621</x:v>
      </x:c>
      <x:c r="I11" s="26" t="n">
        <x:f aca="0">PARAMETRI!$B$4*H11</x:f>
        <x:v>0.05639567119906047</x:v>
      </x:c>
      <x:c r="J11" s="26" t="n">
        <x:f aca="0">(DATI!C11+DATI!D11)/(SUM(DATI!$C$4:$C$23)+SUM(DATI!$D$4:$D$23))</x:f>
        <x:v>0.07780085522296884</x:v>
      </x:c>
      <x:c r="K11" s="26" t="n">
        <x:f aca="0">PARAMETRI!$B$4*J11/B11</x:f>
        <x:v>0.06566206077166589</x:v>
      </x:c>
      <x:c r="L11" s="32" t="n">
        <x:f aca="0">PARAMETRI!$B$4*G11*SUM(DATI!$B$4:$B$23)</x:f>
        <x:v>111893.01575159111</x:v>
      </x:c>
      <x:c r="M11" s="5" t="n">
        <x:f aca="0">IF(G11&gt;0,-G11*LN(G11),0)</x:f>
        <x:v>0.18080080911660545</x:v>
      </x:c>
      <x:c r="N11" s="5" t="n">
        <x:f aca="0">IF(AND(G11&gt;0,J11&gt;0),0.5*(G11*LN(G11/((G11+J11)/2))+J11*LN(J11/((G11+J11)/2))),0)</x:f>
        <x:v>0.0002085852662325762</x:v>
      </x:c>
    </x:row>
    <x:row r="12" ht="15" hidden="0" customHeight="1">
      <x:c r="A12" s="5" t="s">
        <x:v>114</x:v>
      </x:c>
      <x:c r="B12" s="31" t="n">
        <x:f aca="0">DATI!B12/SUM(DATI!$B$4:$B$23)</x:f>
        <x:v>0.07113667237934009</x:v>
      </x:c>
      <x:c r="C12" s="31" t="n">
        <x:f aca="0">PARAMETRI!$B$15*DATI!C12/SUM(DATI!$C$4:$C$23)+PARAMETRI!$B$16*DATI!D12/SUM(DATI!$D$4:$D$23)+PARAMETRI!$B$17*DATI!N12/SUM(DATI!$N$4:$N$23)+PARAMETRI!$B$18*B12</x:f>
        <x:v>0.056497337394225404</x:v>
      </x:c>
      <x:c r="D12" s="31" t="n">
        <x:f aca="0">DATI!F12/SUM(DATI!$F$4:$F$23)</x:f>
        <x:v>0.057591916923831796</x:v>
      </x:c>
      <x:c r="E12" s="31" t="n">
        <x:f aca="0">DATI!G12/SUM(DATI!$G$4:$G$23)</x:f>
        <x:v>0.04826916193690239</x:v>
      </x:c>
      <x:c r="F12" s="31" t="n">
        <x:f aca="0">(DATI!L12+PARAMETRI!$B$14*B12)/(SUM(DATI!$L$4:$L$23)+PARAMETRI!$B$14)</x:f>
        <x:v>0.10854628240810085</x:v>
      </x:c>
      <x:c r="G12" s="31" t="n">
        <x:f aca="0">PARAMETRI!$B$5*C12+PARAMETRI!$B$6*D12+PARAMETRI!$B$7*E12+PARAMETRI!$B$8*F12</x:f>
        <x:v>0.06252128016437757</x:v>
      </x:c>
      <x:c r="H12" s="5" t="n">
        <x:f aca="0">G12/B12</x:f>
        <x:v>0.8788895807633441</x:v>
      </x:c>
      <x:c r="I12" s="26" t="n">
        <x:f aca="0">PARAMETRI!$B$4*H12</x:f>
        <x:v>0.06328004981496077</x:v>
      </x:c>
      <x:c r="J12" s="26" t="n">
        <x:f aca="0">(DATI!C12+DATI!D12)/(SUM(DATI!$C$4:$C$23)+SUM(DATI!$D$4:$D$23))</x:f>
        <x:v>0.06326695174098962</x:v>
      </x:c>
      <x:c r="K12" s="26" t="n">
        <x:f aca="0">PARAMETRI!$B$4*J12/B12</x:f>
        <x:v>0.0640347709977253</x:v>
      </x:c>
      <x:c r="L12" s="32" t="n">
        <x:f aca="0">PARAMETRI!$B$4*G12*SUM(DATI!$B$4:$B$23)</x:f>
        <x:v>104692.41281536553</x:v>
      </x:c>
      <x:c r="M12" s="5" t="n">
        <x:f aca="0">IF(G12&gt;0,-G12*LN(G12),0)</x:f>
        <x:v>0.17332451249701733</x:v>
      </x:c>
      <x:c r="N12" s="5" t="n">
        <x:f aca="0">IF(AND(G12&gt;0,J12&gt;0),0.5*(G12*LN(G12/((G12+J12)/2))+J12*LN(J12/((G12+J12)/2))),0)</x:f>
        <x:v>0.0000011050901748620677</x:v>
      </x:c>
    </x:row>
    <x:row r="13" ht="15" hidden="0" customHeight="1">
      <x:c r="A13" s="5" t="s">
        <x:v>115</x:v>
      </x:c>
      <x:c r="B13" s="31" t="n">
        <x:f aca="0">DATI!B13/SUM(DATI!$B$4:$B$23)</x:f>
        <x:v>0.016885193839187428</x:v>
      </x:c>
      <x:c r="C13" s="31" t="n">
        <x:f aca="0">PARAMETRI!$B$15*DATI!C13/SUM(DATI!$C$4:$C$23)+PARAMETRI!$B$16*DATI!D13/SUM(DATI!$D$4:$D$23)+PARAMETRI!$B$17*DATI!N13/SUM(DATI!$N$4:$N$23)+PARAMETRI!$B$18*B13</x:f>
        <x:v>0.014350792409006668</x:v>
      </x:c>
      <x:c r="D13" s="31" t="n">
        <x:f aca="0">DATI!F13/SUM(DATI!$F$4:$F$23)</x:f>
        <x:v>0.015031630443438668</x:v>
      </x:c>
      <x:c r="E13" s="31" t="n">
        <x:f aca="0">DATI!G13/SUM(DATI!$G$4:$G$23)</x:f>
        <x:v>0.01347982819450836</x:v>
      </x:c>
      <x:c r="F13" s="31" t="n">
        <x:f aca="0">(DATI!L13+PARAMETRI!$B$14*B13)/(SUM(DATI!$L$4:$L$23)+PARAMETRI!$B$14)</x:f>
        <x:v>0.004186411695666305</x:v>
      </x:c>
      <x:c r="G13" s="31" t="n">
        <x:f aca="0">PARAMETRI!$B$5*C13+PARAMETRI!$B$6*D13+PARAMETRI!$B$7*E13+PARAMETRI!$B$8*F13</x:f>
        <x:v>0.012778603756989037</x:v>
      </x:c>
      <x:c r="H13" s="5" t="n">
        <x:f aca="0">G13/B13</x:f>
        <x:v>0.7567934297166461</x:v>
      </x:c>
      <x:c r="I13" s="26" t="n">
        <x:f aca="0">PARAMETRI!$B$4*H13</x:f>
        <x:v>0.054489126939598516</x:v>
      </x:c>
      <x:c r="J13" s="26" t="n">
        <x:f aca="0">(DATI!C13+DATI!D13)/(SUM(DATI!$C$4:$C$23)+SUM(DATI!$D$4:$D$23))</x:f>
        <x:v>0.017608160134108052</x:v>
      </x:c>
      <x:c r="K13" s="26" t="n">
        <x:f aca="0">PARAMETRI!$B$4*J13/B13</x:f>
        <x:v>0.07508279393947365</x:v>
      </x:c>
      <x:c r="L13" s="32" t="n">
        <x:f aca="0">PARAMETRI!$B$4*G13*SUM(DATI!$B$4:$B$23)</x:f>
        <x:v>21397.88014918034</x:v>
      </x:c>
      <x:c r="M13" s="5" t="n">
        <x:f aca="0">IF(G13&gt;0,-G13*LN(G13),0)</x:f>
        <x:v>0.055714496271191544</x:v>
      </x:c>
      <x:c r="N13" s="5" t="n">
        <x:f aca="0">IF(AND(G13&gt;0,J13&gt;0),0.5*(G13*LN(G13/((G13+J13)/2))+J13*LN(J13/((G13+J13)/2))),0)</x:f>
        <x:v>0.00019271400661855214</x:v>
      </x:c>
    </x:row>
    <x:row r="14" ht="15" hidden="0" customHeight="1">
      <x:c r="A14" s="5" t="s">
        <x:v>116</x:v>
      </x:c>
      <x:c r="B14" s="31" t="n">
        <x:f aca="0">DATI!B14/SUM(DATI!$B$4:$B$23)</x:f>
        <x:v>0.02827850740562157</x:v>
      </x:c>
      <x:c r="C14" s="31" t="n">
        <x:f aca="0">PARAMETRI!$B$15*DATI!C14/SUM(DATI!$C$4:$C$23)+PARAMETRI!$B$16*DATI!D14/SUM(DATI!$D$4:$D$23)+PARAMETRI!$B$17*DATI!N14/SUM(DATI!$N$4:$N$23)+PARAMETRI!$B$18*B14</x:f>
        <x:v>0.02708205969026539</x:v>
      </x:c>
      <x:c r="D14" s="31" t="n">
        <x:f aca="0">DATI!F14/SUM(DATI!$F$4:$F$23)</x:f>
        <x:v>0.030180966994458894</x:v>
      </x:c>
      <x:c r="E14" s="31" t="n">
        <x:f aca="0">DATI!G14/SUM(DATI!$G$4:$G$23)</x:f>
        <x:v>0.02723449404305364</x:v>
      </x:c>
      <x:c r="F14" s="31" t="n">
        <x:f aca="0">(DATI!L14+PARAMETRI!$B$14*B14)/(SUM(DATI!$L$4:$L$23)+PARAMETRI!$B$14)</x:f>
        <x:v>0.023540125803046673</x:v>
      </x:c>
      <x:c r="G14" s="31" t="n">
        <x:f aca="0">PARAMETRI!$B$5*C14+PARAMETRI!$B$6*D14+PARAMETRI!$B$7*E14+PARAMETRI!$B$8*F14</x:f>
        <x:v>0.02736360502142802</x:v>
      </x:c>
      <x:c r="H14" s="5" t="n">
        <x:f aca="0">G14/B14</x:f>
        <x:v>0.9676467229663023</x:v>
      </x:c>
      <x:c r="I14" s="26" t="n">
        <x:f aca="0">PARAMETRI!$B$4*H14</x:f>
        <x:v>0.06967056405357376</x:v>
      </x:c>
      <x:c r="J14" s="26" t="n">
        <x:f aca="0">(DATI!C14+DATI!D14)/(SUM(DATI!$C$4:$C$23)+SUM(DATI!$D$4:$D$23))</x:f>
        <x:v>0.030713244590927818</x:v>
      </x:c>
      <x:c r="K14" s="26" t="n">
        <x:f aca="0">PARAMETRI!$B$4*J14/B14</x:f>
        <x:v>0.07819909229393067</x:v>
      </x:c>
      <x:c r="L14" s="32" t="n">
        <x:f aca="0">PARAMETRI!$B$4*G14*SUM(DATI!$B$4:$B$23)</x:f>
        <x:v>45820.58821393412</x:v>
      </x:c>
      <x:c r="M14" s="5" t="n">
        <x:f aca="0">IF(G14&gt;0,-G14*LN(G14),0)</x:f>
        <x:v>0.09846906641022019</x:v>
      </x:c>
      <x:c r="N14" s="5" t="n">
        <x:f aca="0">IF(AND(G14&gt;0,J14&gt;0),0.5*(G14*LN(G14/((G14+J14)/2))+J14*LN(J14/((G14+J14)/2))),0)</x:f>
        <x:v>0.000048325254602241954</x:v>
      </x:c>
    </x:row>
    <x:row r="15" ht="15" hidden="0" customHeight="1">
      <x:c r="A15" s="5" t="s">
        <x:v>117</x:v>
      </x:c>
      <x:c r="B15" s="31" t="n">
        <x:f aca="0">DATI!B15/SUM(DATI!$B$4:$B$23)</x:f>
        <x:v>0.08936253427023585</x:v>
      </x:c>
      <x:c r="C15" s="31" t="n">
        <x:f aca="0">PARAMETRI!$B$15*DATI!C15/SUM(DATI!$C$4:$C$23)+PARAMETRI!$B$16*DATI!D15/SUM(DATI!$D$4:$D$23)+PARAMETRI!$B$17*DATI!N15/SUM(DATI!$N$4:$N$23)+PARAMETRI!$B$18*B15</x:f>
        <x:v>0.09184415294043302</x:v>
      </x:c>
      <x:c r="D15" s="31" t="n">
        <x:f aca="0">DATI!F15/SUM(DATI!$F$4:$F$23)</x:f>
        <x:v>0.07730825044901644</x:v>
      </x:c>
      <x:c r="E15" s="31" t="n">
        <x:f aca="0">DATI!G15/SUM(DATI!$G$4:$G$23)</x:f>
        <x:v>0.10155570895331595</x:v>
      </x:c>
      <x:c r="F15" s="31" t="n">
        <x:f aca="0">(DATI!L15+PARAMETRI!$B$14*B15)/(SUM(DATI!$L$4:$L$23)+PARAMETRI!$B$14)</x:f>
        <x:v>0.03042046304220724</x:v>
      </x:c>
      <x:c r="G15" s="31" t="n">
        <x:f aca="0">PARAMETRI!$B$5*C15+PARAMETRI!$B$6*D15+PARAMETRI!$B$7*E15+PARAMETRI!$B$8*F15</x:f>
        <x:v>0.08142451283606573</x:v>
      </x:c>
      <x:c r="H15" s="5" t="n">
        <x:f aca="0">G15/B15</x:f>
        <x:v>0.9111705873272883</x:v>
      </x:c>
      <x:c r="I15" s="26" t="n">
        <x:f aca="0">PARAMETRI!$B$4*H15</x:f>
        <x:v>0.06560428228756475</x:v>
      </x:c>
      <x:c r="J15" s="26" t="n">
        <x:f aca="0">(DATI!C15+DATI!D15)/(SUM(DATI!$C$4:$C$23)+SUM(DATI!$D$4:$D$23))</x:f>
        <x:v>0.09389302609708627</x:v>
      </x:c>
      <x:c r="K15" s="26" t="n">
        <x:f aca="0">PARAMETRI!$B$4*J15/B15</x:f>
        <x:v>0.07565024799483419</x:v>
      </x:c>
      <x:c r="L15" s="32" t="n">
        <x:f aca="0">PARAMETRI!$B$4*G15*SUM(DATI!$B$4:$B$23)</x:f>
        <x:v>136346.03592106872</x:v>
      </x:c>
      <x:c r="M15" s="5" t="n">
        <x:f aca="0">IF(G15&gt;0,-G15*LN(G15),0)</x:f>
        <x:v>0.20421910346753244</x:v>
      </x:c>
      <x:c r="N15" s="5" t="n">
        <x:f aca="0">IF(AND(G15&gt;0,J15&gt;0),0.5*(G15*LN(G15/((G15+J15)/2))+J15*LN(J15/((G15+J15)/2))),0)</x:f>
        <x:v>0.00022187618206731324</x:v>
      </x:c>
    </x:row>
    <x:row r="16" ht="15" hidden="0" customHeight="1">
      <x:c r="A16" s="5" t="s">
        <x:v>118</x:v>
      </x:c>
      <x:c r="B16" s="31" t="n">
        <x:f aca="0">DATI!B16/SUM(DATI!$B$4:$B$23)</x:f>
        <x:v>0.02173864437391103</x:v>
      </x:c>
      <x:c r="C16" s="31" t="n">
        <x:f aca="0">PARAMETRI!$B$15*DATI!C16/SUM(DATI!$C$4:$C$23)+PARAMETRI!$B$16*DATI!D16/SUM(DATI!$D$4:$D$23)+PARAMETRI!$B$17*DATI!N16/SUM(DATI!$N$4:$N$23)+PARAMETRI!$B$18*B16</x:f>
        <x:v>0.023020320196779482</x:v>
      </x:c>
      <x:c r="D16" s="31" t="n">
        <x:f aca="0">DATI!F16/SUM(DATI!$F$4:$F$23)</x:f>
        <x:v>0.016553735223484817</x:v>
      </x:c>
      <x:c r="E16" s="31" t="n">
        <x:f aca="0">DATI!G16/SUM(DATI!$G$4:$G$23)</x:f>
        <x:v>0.027643554737434167</x:v>
      </x:c>
      <x:c r="F16" s="31" t="n">
        <x:f aca="0">(DATI!L16+PARAMETRI!$B$14*B16)/(SUM(DATI!$L$4:$L$23)+PARAMETRI!$B$14)</x:f>
        <x:v>0.0053897465389862054</x:v>
      </x:c>
      <x:c r="G16" s="31" t="n">
        <x:f aca="0">PARAMETRI!$B$5*C16+PARAMETRI!$B$6*D16+PARAMETRI!$B$7*E16+PARAMETRI!$B$8*F16</x:f>
        <x:v>0.019914896539950495</x:v>
      </x:c>
      <x:c r="H16" s="5" t="n">
        <x:f aca="0">G16/B16</x:f>
        <x:v>0.9161057238624664</x:v>
      </x:c>
      <x:c r="I16" s="26" t="n">
        <x:f aca="0">PARAMETRI!$B$4*H16</x:f>
        <x:v>0.06595961211809757</x:v>
      </x:c>
      <x:c r="J16" s="26" t="n">
        <x:f aca="0">(DATI!C16+DATI!D16)/(SUM(DATI!$C$4:$C$23)+SUM(DATI!$D$4:$D$23))</x:f>
        <x:v>0.023715531815146823</x:v>
      </x:c>
      <x:c r="K16" s="26" t="n">
        <x:f aca="0">PARAMETRI!$B$4*J16/B16</x:f>
        <x:v>0.07854759760179882</x:v>
      </x:c>
      <x:c r="L16" s="32" t="n">
        <x:f aca="0">PARAMETRI!$B$4*G16*SUM(DATI!$B$4:$B$23)</x:f>
        <x:v>33347.66281583141</x:v>
      </x:c>
      <x:c r="M16" s="5" t="n">
        <x:f aca="0">IF(G16&gt;0,-G16*LN(G16),0)</x:f>
        <x:v>0.07799245555271568</x:v>
      </x:c>
      <x:c r="N16" s="5" t="n">
        <x:f aca="0">IF(AND(G16&gt;0,J16&gt;0),0.5*(G16*LN(G16/((G16+J16)/2))+J16*LN(J16/((G16+J16)/2))),0)</x:f>
        <x:v>0.00008287308230377731</x:v>
      </x:c>
    </x:row>
    <x:row r="17" ht="15" hidden="0" customHeight="1">
      <x:c r="A17" s="5" t="s">
        <x:v>119</x:v>
      </x:c>
      <x:c r="B17" s="31" t="n">
        <x:f aca="0">DATI!B17/SUM(DATI!$B$4:$B$23)</x:f>
        <x:v>0.005476616091920811</x:v>
      </x:c>
      <x:c r="C17" s="31" t="n">
        <x:f aca="0">PARAMETRI!$B$15*DATI!C17/SUM(DATI!$C$4:$C$23)+PARAMETRI!$B$16*DATI!D17/SUM(DATI!$D$4:$D$23)+PARAMETRI!$B$17*DATI!N17/SUM(DATI!$N$4:$N$23)+PARAMETRI!$B$18*B17</x:f>
        <x:v>0.006734560802583516</x:v>
      </x:c>
      <x:c r="D17" s="31" t="n">
        <x:f aca="0">DATI!F17/SUM(DATI!$F$4:$F$23)</x:f>
        <x:v>0.008994812794979634</x:v>
      </x:c>
      <x:c r="E17" s="31" t="n">
        <x:f aca="0">DATI!G17/SUM(DATI!$G$4:$G$23)</x:f>
        <x:v>0.007235261031855601</x:v>
      </x:c>
      <x:c r="F17" s="31" t="n">
        <x:f aca="0">(DATI!L17+PARAMETRI!$B$14*B17)/(SUM(DATI!$L$4:$L$23)+PARAMETRI!$B$14)</x:f>
        <x:v>0.0013578387004762342</x:v>
      </x:c>
      <x:c r="G17" s="31" t="n">
        <x:f aca="0">PARAMETRI!$B$5*C17+PARAMETRI!$B$6*D17+PARAMETRI!$B$7*E17+PARAMETRI!$B$8*F17</x:f>
        <x:v>0.006618290542684474</x:v>
      </x:c>
      <x:c r="H17" s="5" t="n">
        <x:f aca="0">G17/B17</x:f>
        <x:v>1.2084634802954106</x:v>
      </x:c>
      <x:c r="I17" s="26" t="n">
        <x:f aca="0">PARAMETRI!$B$4*H17</x:f>
        <x:v>0.08700937058126956</x:v>
      </x:c>
      <x:c r="J17" s="26" t="n">
        <x:f aca="0">(DATI!C17+DATI!D17)/(SUM(DATI!$C$4:$C$23)+SUM(DATI!$D$4:$D$23))</x:f>
        <x:v>0.006358199201602478</x:v>
      </x:c>
      <x:c r="K17" s="26" t="n">
        <x:f aca="0">PARAMETRI!$B$4*J17/B17</x:f>
        <x:v>0.08359000061930902</x:v>
      </x:c>
      <x:c r="L17" s="32" t="n">
        <x:f aca="0">PARAMETRI!$B$4*G17*SUM(DATI!$B$4:$B$23)</x:f>
        <x:v>11082.383530936306</x:v>
      </x:c>
      <x:c r="M17" s="5" t="n">
        <x:f aca="0">IF(G17&gt;0,-G17*LN(G17),0)</x:f>
        <x:v>0.03321004035894481</x:v>
      </x:c>
      <x:c r="N17" s="5" t="n">
        <x:f aca="0">IF(AND(G17&gt;0,J17&gt;0),0.5*(G17*LN(G17/((G17+J17)/2))+J17*LN(J17/((G17+J17)/2))),0)</x:f>
        <x:v>0.0000013033577866145962</x:v>
      </x:c>
    </x:row>
    <x:row r="18" ht="15" hidden="0" customHeight="1">
      <x:c r="A18" s="5" t="s">
        <x:v>120</x:v>
      </x:c>
      <x:c r="B18" s="31" t="n">
        <x:f aca="0">DATI!B18/SUM(DATI!$B$4:$B$23)</x:f>
        <x:v>0.08512450970806201</x:v>
      </x:c>
      <x:c r="C18" s="31" t="n">
        <x:f aca="0">PARAMETRI!$B$15*DATI!C18/SUM(DATI!$C$4:$C$23)+PARAMETRI!$B$16*DATI!D18/SUM(DATI!$D$4:$D$23)+PARAMETRI!$B$17*DATI!N18/SUM(DATI!$N$4:$N$23)+PARAMETRI!$B$18*B18</x:f>
        <x:v>0.07680234025493264</x:v>
      </x:c>
      <x:c r="D18" s="31" t="n">
        <x:f aca="0">DATI!F18/SUM(DATI!$F$4:$F$23)</x:f>
        <x:v>0.0470889636165376</x:v>
      </x:c>
      <x:c r="E18" s="31" t="n">
        <x:f aca="0">DATI!G18/SUM(DATI!$G$4:$G$23)</x:f>
        <x:v>0.08137112031497673</x:v>
      </x:c>
      <x:c r="F18" s="31" t="n">
        <x:f aca="0">(DATI!L18+PARAMETRI!$B$14*B18)/(SUM(DATI!$L$4:$L$23)+PARAMETRI!$B$14)</x:f>
        <x:v>0.0624275643904286</x:v>
      </x:c>
      <x:c r="G18" s="31" t="n">
        <x:f aca="0">PARAMETRI!$B$5*C18+PARAMETRI!$B$6*D18+PARAMETRI!$B$7*E18+PARAMETRI!$B$8*F18</x:f>
        <x:v>0.06835997473066929</x:v>
      </x:c>
      <x:c r="H18" s="5" t="n">
        <x:f aca="0">G18/B18</x:f>
        <x:v>0.8030586603683548</x:v>
      </x:c>
      <x:c r="I18" s="26" t="n">
        <x:f aca="0">PARAMETRI!$B$4*H18</x:f>
        <x:v>0.05782022354652154</x:v>
      </x:c>
      <x:c r="J18" s="26" t="n">
        <x:f aca="0">(DATI!C18+DATI!D18)/(SUM(DATI!$C$4:$C$23)+SUM(DATI!$D$4:$D$23))</x:f>
        <x:v>0.05666235740364535</x:v>
      </x:c>
      <x:c r="K18" s="26" t="n">
        <x:f aca="0">PARAMETRI!$B$4*J18/B18</x:f>
        <x:v>0.047926146618100095</x:v>
      </x:c>
      <x:c r="L18" s="32" t="n">
        <x:f aca="0">PARAMETRI!$B$4*G18*SUM(DATI!$B$4:$B$23)</x:f>
        <x:v>114469.35628533184</x:v>
      </x:c>
      <x:c r="M18" s="5" t="n">
        <x:f aca="0">IF(G18&gt;0,-G18*LN(G18),0)</x:f>
        <x:v>0.1834076103539623</x:v>
      </x:c>
      <x:c r="N18" s="5" t="n">
        <x:f aca="0">IF(AND(G18&gt;0,J18&gt;0),0.5*(G18*LN(G18/((G18+J18)/2))+J18*LN(J18/((G18+J18)/2))),0)</x:f>
        <x:v>0.0002740202457838163</x:v>
      </x:c>
    </x:row>
    <x:row r="19" ht="15" hidden="0" customHeight="1">
      <x:c r="A19" s="5" t="s">
        <x:v>121</x:v>
      </x:c>
      <x:c r="B19" s="31" t="n">
        <x:f aca="0">DATI!B19/SUM(DATI!$B$4:$B$23)</x:f>
        <x:v>0.05875191801956756</x:v>
      </x:c>
      <x:c r="C19" s="31" t="n">
        <x:f aca="0">PARAMETRI!$B$15*DATI!C19/SUM(DATI!$C$4:$C$23)+PARAMETRI!$B$16*DATI!D19/SUM(DATI!$D$4:$D$23)+PARAMETRI!$B$17*DATI!N19/SUM(DATI!$N$4:$N$23)+PARAMETRI!$B$18*B19</x:f>
        <x:v>0.05887702410797349</x:v>
      </x:c>
      <x:c r="D19" s="31" t="n">
        <x:f aca="0">DATI!F19/SUM(DATI!$F$4:$F$23)</x:f>
        <x:v>0.03485732019916973</x:v>
      </x:c>
      <x:c r="E19" s="31" t="n">
        <x:f aca="0">DATI!G19/SUM(DATI!$G$4:$G$23)</x:f>
        <x:v>0.08661860203507696</x:v>
      </x:c>
      <x:c r="F19" s="31" t="n">
        <x:f aca="0">(DATI!L19+PARAMETRI!$B$14*B19)/(SUM(DATI!$L$4:$L$23)+PARAMETRI!$B$14)</x:f>
        <x:v>0.05588890529410766</x:v>
      </x:c>
      <x:c r="G19" s="31" t="n">
        <x:f aca="0">PARAMETRI!$B$5*C19+PARAMETRI!$B$6*D19+PARAMETRI!$B$7*E19+PARAMETRI!$B$8*F19</x:f>
        <x:v>0.05935927479046854</x:v>
      </x:c>
      <x:c r="H19" s="5" t="n">
        <x:f aca="0">G19/B19</x:f>
        <x:v>1.0103376500950776</x:v>
      </x:c>
      <x:c r="I19" s="26" t="n">
        <x:f aca="0">PARAMETRI!$B$4*H19</x:f>
        <x:v>0.07274431080684558</x:v>
      </x:c>
      <x:c r="J19" s="26" t="n">
        <x:f aca="0">(DATI!C19+DATI!D19)/(SUM(DATI!$C$4:$C$23)+SUM(DATI!$D$4:$D$23))</x:f>
        <x:v>0.05145919222627893</x:v>
      </x:c>
      <x:c r="K19" s="26" t="n">
        <x:f aca="0">PARAMETRI!$B$4*J19/B19</x:f>
        <x:v>0.0630628235670212</x:v>
      </x:c>
      <x:c r="L19" s="32" t="n">
        <x:f aca="0">PARAMETRI!$B$4*G19*SUM(DATI!$B$4:$B$23)</x:f>
        <x:v>99397.6080535414</x:v>
      </x:c>
      <x:c r="M19" s="5" t="n">
        <x:f aca="0">IF(G19&gt;0,-G19*LN(G19),0)</x:f>
        <x:v>0.1676393117278153</x:v>
      </x:c>
      <x:c r="N19" s="5" t="n">
        <x:f aca="0">IF(AND(G19&gt;0,J19&gt;0),0.5*(G19*LN(G19/((G19+J19)/2))+J19*LN(J19/((G19+J19)/2))),0)</x:f>
        <x:v>0.00014091576263865354</x:v>
      </x:c>
    </x:row>
    <x:row r="20" ht="15" hidden="0" customHeight="1">
      <x:c r="A20" s="5" t="s">
        <x:v>122</x:v>
      </x:c>
      <x:c r="B20" s="31" t="n">
        <x:f aca="0">DATI!B20/SUM(DATI!$B$4:$B$23)</x:f>
        <x:v>0.008867715105201164</x:v>
      </x:c>
      <x:c r="C20" s="31" t="n">
        <x:f aca="0">PARAMETRI!$B$15*DATI!C20/SUM(DATI!$C$4:$C$23)+PARAMETRI!$B$16*DATI!D20/SUM(DATI!$D$4:$D$23)+PARAMETRI!$B$17*DATI!N20/SUM(DATI!$N$4:$N$23)+PARAMETRI!$B$18*B20</x:f>
        <x:v>0.008694306948589081</x:v>
      </x:c>
      <x:c r="D20" s="31" t="n">
        <x:f aca="0">DATI!F20/SUM(DATI!$F$4:$F$23)</x:f>
        <x:v>0.0046113299803679205</x:v>
      </x:c>
      <x:c r="E20" s="31" t="n">
        <x:f aca="0">DATI!G20/SUM(DATI!$G$4:$G$23)</x:f>
        <x:v>0.008289870634555403</x:v>
      </x:c>
      <x:c r="F20" s="31" t="n">
        <x:f aca="0">(DATI!L20+PARAMETRI!$B$14*B20)/(SUM(DATI!$L$4:$L$23)+PARAMETRI!$B$14)</x:f>
        <x:v>0.01872753267071103</x:v>
      </x:c>
      <x:c r="G20" s="31" t="n">
        <x:f aca="0">PARAMETRI!$B$5*C20+PARAMETRI!$B$6*D20+PARAMETRI!$B$7*E20+PARAMETRI!$B$8*F20</x:f>
        <x:v>0.009077437486343664</x:v>
      </x:c>
      <x:c r="H20" s="5" t="n">
        <x:f aca="0">G20/B20</x:f>
        <x:v>1.023650103623592</x:v>
      </x:c>
      <x:c r="I20" s="26" t="n">
        <x:f aca="0">PARAMETRI!$B$4*H20</x:f>
        <x:v>0.07370280746089862</x:v>
      </x:c>
      <x:c r="J20" s="26" t="n">
        <x:f aca="0">(DATI!C20+DATI!D20)/(SUM(DATI!$C$4:$C$23)+SUM(DATI!$D$4:$D$23))</x:f>
        <x:v>0.007249335852594792</x:v>
      </x:c>
      <x:c r="K20" s="26" t="n">
        <x:f aca="0">PARAMETRI!$B$4*J20/B20</x:f>
        <x:v>0.05885982749724169</x:v>
      </x:c>
      <x:c r="L20" s="32" t="n">
        <x:f aca="0">PARAMETRI!$B$4*G20*SUM(DATI!$B$4:$B$23)</x:f>
        <x:v>15200.245902313347</x:v>
      </x:c>
      <x:c r="M20" s="5" t="n">
        <x:f aca="0">IF(G20&gt;0,-G20*LN(G20),0)</x:f>
        <x:v>0.042681778294270584</x:v>
      </x:c>
      <x:c r="N20" s="5" t="n">
        <x:f aca="0">IF(AND(G20&gt;0,J20&gt;0),0.5*(G20*LN(G20/((G20+J20)/2))+J20*LN(J20/((G20+J20)/2))),0)</x:f>
        <x:v>0.000051280401340084766</x:v>
      </x:c>
    </x:row>
    <x:row r="21" ht="15" hidden="0" customHeight="1">
      <x:c r="A21" s="5" t="s">
        <x:v>123</x:v>
      </x:c>
      <x:c r="B21" s="31" t="n">
        <x:f aca="0">DATI!B21/SUM(DATI!$B$4:$B$23)</x:f>
        <x:v>0.027629887214472747</x:v>
      </x:c>
      <x:c r="C21" s="31" t="n">
        <x:f aca="0">PARAMETRI!$B$15*DATI!C21/SUM(DATI!$C$4:$C$23)+PARAMETRI!$B$16*DATI!D21/SUM(DATI!$D$4:$D$23)+PARAMETRI!$B$17*DATI!N21/SUM(DATI!$N$4:$N$23)+PARAMETRI!$B$18*B21</x:f>
        <x:v>0.02995313959539216</x:v>
      </x:c>
      <x:c r="D21" s="31" t="n">
        <x:f aca="0">DATI!F21/SUM(DATI!$F$4:$F$23)</x:f>
        <x:v>0.024334736535068777</x:v>
      </x:c>
      <x:c r="E21" s="31" t="n">
        <x:f aca="0">DATI!G21/SUM(DATI!$G$4:$G$23)</x:f>
        <x:v>0.03942961599427315</x:v>
      </x:c>
      <x:c r="F21" s="31" t="n">
        <x:f aca="0">(DATI!L21+PARAMETRI!$B$14*B21)/(SUM(DATI!$L$4:$L$23)+PARAMETRI!$B$14)</x:f>
        <x:v>0.08949501335896018</x:v>
      </x:c>
      <x:c r="G21" s="31" t="n">
        <x:f aca="0">PARAMETRI!$B$5*C21+PARAMETRI!$B$6*D21+PARAMETRI!$B$7*E21+PARAMETRI!$B$8*F21</x:f>
        <x:v>0.03984893899456676</x:v>
      </x:c>
      <x:c r="H21" s="5" t="n">
        <x:f aca="0">G21/B21</x:f>
        <x:v>1.4422403785164053</x:v>
      </x:c>
      <x:c r="I21" s="26" t="n">
        <x:f aca="0">PARAMETRI!$B$4*H21</x:f>
        <x:v>0.10384130725318118</x:v>
      </x:c>
      <x:c r="J21" s="26" t="n">
        <x:f aca="0">(DATI!C21+DATI!D21)/(SUM(DATI!$C$4:$C$23)+SUM(DATI!$D$4:$D$23))</x:f>
        <x:v>0.021733346592604168</x:v>
      </x:c>
      <x:c r="K21" s="26" t="n">
        <x:f aca="0">PARAMETRI!$B$4*J21/B21</x:f>
        <x:v>0.05663435910979199</x:v>
      </x:c>
      <x:c r="L21" s="32" t="n">
        <x:f aca="0">PARAMETRI!$B$4*G21*SUM(DATI!$B$4:$B$23)</x:f>
        <x:v>66727.38562782168</x:v>
      </x:c>
      <x:c r="M21" s="5" t="n">
        <x:f aca="0">IF(G21&gt;0,-G21*LN(G21),0)</x:f>
        <x:v>0.12841956177909475</x:v>
      </x:c>
      <x:c r="N21" s="5" t="n">
        <x:f aca="0">IF(AND(G21&gt;0,J21&gt;0),0.5*(G21*LN(G21/((G21+J21)/2))+J21*LN(J21/((G21+J21)/2))),0)</x:f>
        <x:v>0.0013521732145233734</x:v>
      </x:c>
    </x:row>
    <x:row r="22" ht="15" hidden="0" customHeight="1">
      <x:c r="A22" s="5" t="s">
        <x:v>124</x:v>
      </x:c>
      <x:c r="B22" s="31" t="n">
        <x:f aca="0">DATI!B22/SUM(DATI!$B$4:$B$23)</x:f>
        <x:v>0.06445543293473613</x:v>
      </x:c>
      <x:c r="C22" s="31" t="n">
        <x:f aca="0">PARAMETRI!$B$15*DATI!C22/SUM(DATI!$C$4:$C$23)+PARAMETRI!$B$16*DATI!D22/SUM(DATI!$D$4:$D$23)+PARAMETRI!$B$17*DATI!N22/SUM(DATI!$N$4:$N$23)+PARAMETRI!$B$18*B22</x:f>
        <x:v>0.06996686922261834</x:v>
      </x:c>
      <x:c r="D22" s="31" t="n">
        <x:f aca="0">DATI!F22/SUM(DATI!$F$4:$F$23)</x:f>
        <x:v>0.037748298145857735</x:v>
      </x:c>
      <x:c r="E22" s="31" t="n">
        <x:f aca="0">DATI!G22/SUM(DATI!$G$4:$G$23)</x:f>
        <x:v>0.07019865009970855</x:v>
      </x:c>
      <x:c r="F22" s="31" t="n">
        <x:f aca="0">(DATI!L22+PARAMETRI!$B$14*B22)/(SUM(DATI!$L$4:$L$23)+PARAMETRI!$B$14)</x:f>
        <x:v>0.05730299990117425</x:v>
      </x:c>
      <x:c r="G22" s="31" t="n">
        <x:f aca="0">PARAMETRI!$B$5*C22+PARAMETRI!$B$6*D22+PARAMETRI!$B$7*E22+PARAMETRI!$B$8*F22</x:f>
        <x:v>0.06007059127448412</x:v>
      </x:c>
      <x:c r="H22" s="5" t="n">
        <x:f aca="0">G22/B22</x:f>
        <x:v>0.9319709532524303</x:v>
      </x:c>
      <x:c r="I22" s="26" t="n">
        <x:f aca="0">PARAMETRI!$B$4*H22</x:f>
        <x:v>0.06710190863417498</x:v>
      </x:c>
      <x:c r="J22" s="26" t="n">
        <x:f aca="0">(DATI!C22+DATI!D22)/(SUM(DATI!$C$4:$C$23)+SUM(DATI!$D$4:$D$23))</x:f>
        <x:v>0.04712193320168771</x:v>
      </x:c>
      <x:c r="K22" s="26" t="n">
        <x:f aca="0">PARAMETRI!$B$4*J22/B22</x:f>
        <x:v>0.05263759835352977</x:v>
      </x:c>
      <x:c r="L22" s="32" t="n">
        <x:f aca="0">PARAMETRI!$B$4*G22*SUM(DATI!$B$4:$B$23)</x:f>
        <x:v>100588.7135266082</x:v>
      </x:c>
      <x:c r="M22" s="5" t="n">
        <x:f aca="0">IF(G22&gt;0,-G22*LN(G22),0)</x:f>
        <x:v>0.16893261246947036</x:v>
      </x:c>
      <x:c r="N22" s="5" t="n">
        <x:f aca="0">IF(AND(G22&gt;0,J22&gt;0),0.5*(G22*LN(G22/((G22+J22)/2))+J22*LN(J22/((G22+J22)/2))),0)</x:f>
        <x:v>0.0003920000926438071</x:v>
      </x:c>
    </x:row>
    <x:row r="23" ht="15" hidden="0" customHeight="1">
      <x:c r="A23" s="5" t="s">
        <x:v>125</x:v>
      </x:c>
      <x:c r="B23" s="31" t="n">
        <x:f aca="0">DATI!B23/SUM(DATI!$B$4:$B$23)</x:f>
        <x:v>0.02045954901784241</x:v>
      </x:c>
      <x:c r="C23" s="31" t="n">
        <x:f aca="0">PARAMETRI!$B$15*DATI!C23/SUM(DATI!$C$4:$C$23)+PARAMETRI!$B$16*DATI!D23/SUM(DATI!$D$4:$D$23)+PARAMETRI!$B$17*DATI!N23/SUM(DATI!$N$4:$N$23)+PARAMETRI!$B$18*B23</x:f>
        <x:v>0.022705641560397234</x:v>
      </x:c>
      <x:c r="D23" s="31" t="n">
        <x:f aca="0">DATI!F23/SUM(DATI!$F$4:$F$23)</x:f>
        <x:v>0.028480299341808662</x:v>
      </x:c>
      <x:c r="E23" s="31" t="n">
        <x:f aca="0">DATI!G23/SUM(DATI!$G$4:$G$23)</x:f>
        <x:v>0.0325714577900496</x:v>
      </x:c>
      <x:c r="F23" s="31" t="n">
        <x:f aca="0">(DATI!L23+PARAMETRI!$B$14*B23)/(SUM(DATI!$L$4:$L$23)+PARAMETRI!$B$14)</x:f>
        <x:v>0.0050726154589691924</x:v>
      </x:c>
      <x:c r="G23" s="31" t="n">
        <x:f aca="0">PARAMETRI!$B$5*C23+PARAMETRI!$B$6*D23+PARAMETRI!$B$7*E23+PARAMETRI!$B$8*F23</x:f>
        <x:v>0.023970806147948977</x:v>
      </x:c>
      <x:c r="H23" s="5" t="n">
        <x:f aca="0">G23/B23</x:f>
        <x:v>1.171619478368974</x:v>
      </x:c>
      <x:c r="I23" s="26" t="n">
        <x:f aca="0">PARAMETRI!$B$4*H23</x:f>
        <x:v>0.08435660244256611</x:v>
      </x:c>
      <x:c r="J23" s="26" t="n">
        <x:f aca="0">(DATI!C23+DATI!D23)/(SUM(DATI!$C$4:$C$23)+SUM(DATI!$D$4:$D$23))</x:f>
        <x:v>0.016397891775937264</x:v>
      </x:c>
      <x:c r="K23" s="26" t="n">
        <x:f aca="0">PARAMETRI!$B$4*J23/B23</x:f>
        <x:v>0.0577064629742259</x:v>
      </x:c>
      <x:c r="L23" s="32" t="n">
        <x:f aca="0">PARAMETRI!$B$4*G23*SUM(DATI!$B$4:$B$23)</x:f>
        <x:v>40139.31778364379</x:v>
      </x:c>
      <x:c r="M23" s="5" t="n">
        <x:f aca="0">IF(G23&gt;0,-G23*LN(G23),0)</x:f>
        <x:v>0.08943312650392773</x:v>
      </x:c>
      <x:c r="N23" s="5" t="n">
        <x:f aca="0">IF(AND(G23&gt;0,J23&gt;0),0.5*(G23*LN(G23/((G23+J23)/2))+J23*LN(J23/((G23+J23)/2))),0)</x:f>
        <x:v>0.00035727077348575225</x:v>
      </x:c>
    </x:row>
    <x:row r="24" ht="15" hidden="0" customHeight="1">
      <x:c r="B24" s="31"/>
      <x:c r="C24" s="31"/>
      <x:c r="D24" s="31"/>
      <x:c r="E24" s="31"/>
      <x:c r="F24" s="31"/>
      <x:c r="G24" s="31"/>
      <x:c r="L24" s="32"/>
    </x:row>
    <x:row r="25" ht="15" hidden="0" customHeight="1">
      <x:c r="A25" s="30" t="s">
        <x:v>126</x:v>
      </x:c>
      <x:c r="B25" s="33" t="n">
        <x:f aca="0">SUM(B4:B23)</x:f>
        <x:v>1</x:v>
      </x:c>
      <x:c r="C25" s="33" t="n">
        <x:f aca="0">SUM(C4:C23)</x:f>
        <x:v>0.9999999999999998</x:v>
      </x:c>
      <x:c r="D25" s="33" t="n">
        <x:f aca="0">SUM(D4:D23)</x:f>
        <x:v>1</x:v>
      </x:c>
      <x:c r="E25" s="33" t="n">
        <x:f aca="0">SUM(E4:E23)</x:f>
        <x:v>1</x:v>
      </x:c>
      <x:c r="F25" s="33" t="n">
        <x:f aca="0">SUM(F4:F23)</x:f>
        <x:v>1</x:v>
      </x:c>
      <x:c r="G25" s="33" t="n">
        <x:f aca="0">SUM(G4:G23)</x:f>
        <x:v>0.9999999999999999</x:v>
      </x:c>
      <x:c r="H25" s="30" t="n">
        <x:f aca="0">SUM(H4:H23)</x:f>
        <x:v>20.28319168567727</x:v>
      </x:c>
      <x:c r="I25" s="34" t="n">
        <x:f aca="0">SUM(I4:I23)</x:f>
        <x:v>1.460389801368763</x:v>
      </x:c>
      <x:c r="J25" s="34" t="n">
        <x:f aca="0">SUM(J4:J23)</x:f>
        <x:v>1</x:v>
      </x:c>
      <x:c r="K25" s="34" t="n">
        <x:f aca="0">SUM(K4:K23)</x:f>
        <x:v>1.3926986874694276</x:v>
      </x:c>
      <x:c r="L25" s="35" t="n">
        <x:f aca="0">SUM(L4:L23)</x:f>
        <x:v>1674508.4639999995</x:v>
      </x:c>
      <x:c r="M25" s="30" t="n">
        <x:f aca="0">SUM(M4:M23)</x:f>
        <x:v>2.64923658721208</x:v>
      </x:c>
      <x:c r="N25" s="30" t="n">
        <x:f aca="0">SUM(N4:N23)</x:f>
        <x:v>0.0038786098922257237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ColWidth="8.6796875" defaultRowHeight="15"/>
  <x:cols>
    <x:col min="1" max="1" width="28" style="5" hidden="0" customWidth="1"/>
    <x:col min="2" max="9" width="19" style="5" hidden="0" customWidth="1"/>
    <x:col min="10" max="14" width="14" hidden="0" customWidth="1"/>
  </x:cols>
  <x:sheetData>
    <x:row r="1" ht="36" hidden="0" customHeight="1">
      <x:c r="A1" s="6" t="s">
        <x:v>142</x:v>
      </x:c>
      <x:c r="B1" s="6"/>
      <x:c r="C1" s="6"/>
      <x:c r="D1" s="6"/>
      <x:c r="E1" s="6"/>
      <x:c r="F1" s="6"/>
      <x:c r="G1" s="6"/>
      <x:c r="H1" s="6"/>
      <x:c r="I1" s="6"/>
    </x:row>
    <x:row r="2" ht="24.75" hidden="0" customHeight="1">
      <x:c r="A2" s="7" t="s">
        <x:v>143</x:v>
      </x:c>
      <x:c r="B2" s="7"/>
      <x:c r="C2" s="7"/>
      <x:c r="D2" s="7"/>
      <x:c r="E2" s="7"/>
      <x:c r="F2" s="7"/>
      <x:c r="G2" s="7"/>
      <x:c r="H2" s="7"/>
      <x:c r="I2" s="7"/>
    </x:row>
    <x:row r="3" ht="33.75" hidden="0" customHeight="1">
      <x:c r="A3" s="8" t="s">
        <x:v>87</x:v>
      </x:c>
      <x:c r="B3" s="8" t="s">
        <x:v>144</x:v>
      </x:c>
      <x:c r="C3" s="8" t="s">
        <x:v>57</x:v>
      </x:c>
      <x:c r="D3" s="8" t="s">
        <x:v>145</x:v>
      </x:c>
      <x:c r="E3" s="8" t="s">
        <x:v>146</x:v>
      </x:c>
      <x:c r="F3" s="8" t="s">
        <x:v>147</x:v>
      </x:c>
      <x:c r="G3" s="8" t="s">
        <x:v>148</x:v>
      </x:c>
      <x:c r="H3" s="8" t="s">
        <x:v>149</x:v>
      </x:c>
      <x:c r="I3" s="8" t="s">
        <x:v>101</x:v>
      </x:c>
      <x:c r="J3" s="8" t="s">
        <x:v>150</x:v>
      </x:c>
      <x:c r="K3" s="8" t="s">
        <x:v>151</x:v>
      </x:c>
      <x:c r="L3" s="8" t="s">
        <x:v>152</x:v>
      </x:c>
      <x:c r="M3" s="8" t="s">
        <x:v>153</x:v>
      </x:c>
      <x:c r="N3" s="8" t="s">
        <x:v>154</x:v>
      </x:c>
    </x:row>
    <x:row r="4" ht="15" hidden="0" customHeight="1">
      <x:c r="A4" s="5" t="s">
        <x:v>103</x:v>
      </x:c>
      <x:c r="B4" s="26" t="n">
        <x:f aca="0">SCENARIO!I4</x:f>
        <x:v>0.07632843079669263</x:v>
      </x:c>
      <x:c r="C4" s="26" t="n">
        <x:f aca="0">SCENARIO!K4</x:f>
        <x:v>0.07753449118490066</x:v>
      </x:c>
      <x:c r="D4" s="26" t="n">
        <x:v>0.0599707215633659</x:v>
      </x:c>
      <x:c r="E4" s="26" t="n">
        <x:v>0.0931148224402174</x:v>
      </x:c>
      <x:c r="F4" s="26" t="n">
        <x:f aca="0">MIN(B4,J4:N4)</x:f>
        <x:v>0.06955555953202795</x:v>
      </x:c>
      <x:c r="G4" s="26" t="n">
        <x:f aca="0">MAX(B4,J4:N4)</x:f>
        <x:v>0.07929012538016243</x:v>
      </x:c>
      <x:c r="H4" s="36" t="n">
        <x:f aca="0">100*(B4-C4)</x:f>
        <x:v>-0.12060603882080301</x:v>
      </x:c>
      <x:c r="I4" s="5" t="s">
        <x:v>104</x:v>
      </x:c>
      <x:c r="J4" s="37" t="n">
        <x:f aca="0">PARAMETRI!$B$4*($B$28*SCENARIO!C4+$C$28*SCENARIO!D4+$D$28*SCENARIO!E4+$E$28*SCENARIO!F4)/SCENARIO!B4</x:f>
        <x:v>0.07929012538016243</x:v>
      </x:c>
      <x:c r="K4" s="37" t="n">
        <x:f aca="0">PARAMETRI!$B$4*($B$29*SCENARIO!C4+$C$29*SCENARIO!D4+$D$29*SCENARIO!E4+$E$29*SCENARIO!F4)/SCENARIO!B4</x:f>
        <x:v>0.0723519547993799</x:v>
      </x:c>
      <x:c r="L4" s="37" t="n">
        <x:f aca="0">PARAMETRI!$B$4*($B$30*SCENARIO!C4+$C$30*SCENARIO!D4+$D$30*SCENARIO!E4+$E$30*SCENARIO!F4)/SCENARIO!B4</x:f>
        <x:v>0.06955555953202795</x:v>
      </x:c>
      <x:c r="M4" s="37" t="n">
        <x:f aca="0">PARAMETRI!$B$4*($B$31*SCENARIO!C4+$C$31*SCENARIO!D4+$D$31*SCENARIO!E4+$E$31*SCENARIO!F4)/SCENARIO!B4</x:f>
        <x:v>0.07609848161173288</x:v>
      </x:c>
      <x:c r="N4" s="37" t="n">
        <x:f aca="0">PARAMETRI!$B$4*($B$32*SCENARIO!C4+$C$32*SCENARIO!D4+$D$32*SCENARIO!E4+$E$32*SCENARIO!F4)/SCENARIO!B4</x:f>
        <x:v>0.07416136438841806</x:v>
      </x:c>
    </x:row>
    <x:row r="5" ht="15" hidden="0" customHeight="1">
      <x:c r="A5" s="5" t="s">
        <x:v>106</x:v>
      </x:c>
      <x:c r="B5" s="26" t="n">
        <x:f aca="0">SCENARIO!I5</x:f>
        <x:v>0.06176032415811445</x:v>
      </x:c>
      <x:c r="C5" s="26" t="n">
        <x:f aca="0">SCENARIO!K5</x:f>
        <x:v>0.06309804392015868</x:v>
      </x:c>
      <x:c r="D5" s="26" t="n">
        <x:v>0.047456442628244</x:v>
      </x:c>
      <x:c r="E5" s="26" t="n">
        <x:v>0.0762464915799642</x:v>
      </x:c>
      <x:c r="F5" s="26" t="n">
        <x:f aca="0">MIN(B5,J5:N5)</x:f>
        <x:v>0.05585528953239842</x:v>
      </x:c>
      <x:c r="G5" s="26" t="n">
        <x:f aca="0">MAX(B5,J5:N5)</x:f>
        <x:v>0.07690158592658186</x:v>
      </x:c>
      <x:c r="H5" s="36" t="n">
        <x:f aca="0">100*(B5-C5)</x:f>
        <x:v>-0.13377197620442274</x:v>
      </x:c>
      <x:c r="I5" s="5" t="s">
        <x:v>104</x:v>
      </x:c>
      <x:c r="J5" s="37" t="n">
        <x:f aca="0">PARAMETRI!$B$4*($B$28*SCENARIO!C5+$C$28*SCENARIO!D5+$D$28*SCENARIO!E5+$E$28*SCENARIO!F5)/SCENARIO!B5</x:f>
        <x:v>0.05585528953239842</x:v>
      </x:c>
      <x:c r="K5" s="37" t="n">
        <x:f aca="0">PARAMETRI!$B$4*($B$29*SCENARIO!C5+$C$29*SCENARIO!D5+$D$29*SCENARIO!E5+$E$29*SCENARIO!F5)/SCENARIO!B5</x:f>
        <x:v>0.06936113413070985</x:v>
      </x:c>
      <x:c r="L5" s="37" t="n">
        <x:f aca="0">PARAMETRI!$B$4*($B$30*SCENARIO!C5+$C$30*SCENARIO!D5+$D$30*SCENARIO!E5+$E$30*SCENARIO!F5)/SCENARIO!B5</x:f>
        <x:v>0.07690158592658186</x:v>
      </x:c>
      <x:c r="M5" s="37" t="n">
        <x:f aca="0">PARAMETRI!$B$4*($B$31*SCENARIO!C5+$C$31*SCENARIO!D5+$D$31*SCENARIO!E5+$E$31*SCENARIO!F5)/SCENARIO!B5</x:f>
        <x:v>0.07396874602156038</x:v>
      </x:c>
      <x:c r="N5" s="37" t="n">
        <x:f aca="0">PARAMETRI!$B$4*($B$32*SCENARIO!C5+$C$32*SCENARIO!D5+$D$32*SCENARIO!E5+$E$32*SCENARIO!F5)/SCENARIO!B5</x:f>
        <x:v>0.058347310846814125</x:v>
      </x:c>
    </x:row>
    <x:row r="6" ht="15" hidden="0" customHeight="1">
      <x:c r="A6" s="5" t="s">
        <x:v>107</x:v>
      </x:c>
      <x:c r="B6" s="26" t="n">
        <x:f aca="0">SCENARIO!I6</x:f>
        <x:v>0.07920174733449588</x:v>
      </x:c>
      <x:c r="C6" s="26" t="n">
        <x:f aca="0">SCENARIO!K6</x:f>
        <x:v>0.06785567178132569</x:v>
      </x:c>
      <x:c r="D6" s="26" t="n">
        <x:v>0.0621336375994239</x:v>
      </x:c>
      <x:c r="E6" s="26" t="n">
        <x:v>0.0966171367297395</x:v>
      </x:c>
      <x:c r="F6" s="26" t="n">
        <x:f aca="0">MIN(B6,J6:N6)</x:f>
        <x:v>0.06926199656282832</x:v>
      </x:c>
      <x:c r="G6" s="26" t="n">
        <x:f aca="0">MAX(B6,J6:N6)</x:f>
        <x:v>0.08290878443268619</x:v>
      </x:c>
      <x:c r="H6" s="36" t="n">
        <x:f aca="0">100*(B6-C6)</x:f>
        <x:v>1.1346075553170187</x:v>
      </x:c>
      <x:c r="I6" s="5" t="s">
        <x:v>104</x:v>
      </x:c>
      <x:c r="J6" s="37" t="n">
        <x:f aca="0">PARAMETRI!$B$4*($B$28*SCENARIO!C6+$C$28*SCENARIO!D6+$D$28*SCENARIO!E6+$E$28*SCENARIO!F6)/SCENARIO!B6</x:f>
        <x:v>0.08290878443268619</x:v>
      </x:c>
      <x:c r="K6" s="37" t="n">
        <x:f aca="0">PARAMETRI!$B$4*($B$29*SCENARIO!C6+$C$29*SCENARIO!D6+$D$29*SCENARIO!E6+$E$29*SCENARIO!F6)/SCENARIO!B6</x:f>
        <x:v>0.0745170307120868</x:v>
      </x:c>
      <x:c r="L6" s="37" t="n">
        <x:f aca="0">PARAMETRI!$B$4*($B$30*SCENARIO!C6+$C$30*SCENARIO!D6+$D$30*SCENARIO!E6+$E$30*SCENARIO!F6)/SCENARIO!B6</x:f>
        <x:v>0.06926199656282832</x:v>
      </x:c>
      <x:c r="M6" s="37" t="n">
        <x:f aca="0">PARAMETRI!$B$4*($B$31*SCENARIO!C6+$C$31*SCENARIO!D6+$D$31*SCENARIO!E6+$E$31*SCENARIO!F6)/SCENARIO!B6</x:f>
        <x:v>0.07026782148464268</x:v>
      </x:c>
      <x:c r="N6" s="37" t="n">
        <x:f aca="0">PARAMETRI!$B$4*($B$32*SCENARIO!C6+$C$32*SCENARIO!D6+$D$32*SCENARIO!E6+$E$32*SCENARIO!F6)/SCENARIO!B6</x:f>
        <x:v>0.0821028664880738</x:v>
      </x:c>
    </x:row>
    <x:row r="7" ht="15" hidden="0" customHeight="1">
      <x:c r="A7" s="5" t="s">
        <x:v>108</x:v>
      </x:c>
      <x:c r="B7" s="26" t="n">
        <x:f aca="0">SCENARIO!I7</x:f>
        <x:v>0.07613554844571914</x:v>
      </x:c>
      <x:c r="C7" s="26" t="n">
        <x:f aca="0">SCENARIO!K7</x:f>
        <x:v>0.08540907776950094</x:v>
      </x:c>
      <x:c r="D7" s="26" t="n">
        <x:v>0.0596818295245919</x:v>
      </x:c>
      <x:c r="E7" s="26" t="n">
        <x:v>0.0929183553770625</x:v>
      </x:c>
      <x:c r="F7" s="26" t="n">
        <x:f aca="0">MIN(B7,J7:N7)</x:f>
        <x:v>0.0706487990836348</x:v>
      </x:c>
      <x:c r="G7" s="26" t="n">
        <x:f aca="0">MAX(B7,J7:N7)</x:f>
        <x:v>0.08450728952875208</x:v>
      </x:c>
      <x:c r="H7" s="36" t="n">
        <x:f aca="0">100*(B7-C7)</x:f>
        <x:v>-0.9273529323781795</x:v>
      </x:c>
      <x:c r="I7" s="5" t="s">
        <x:v>109</x:v>
      </x:c>
      <x:c r="J7" s="37" t="n">
        <x:f aca="0">PARAMETRI!$B$4*($B$28*SCENARIO!C7+$C$28*SCENARIO!D7+$D$28*SCENARIO!E7+$E$28*SCENARIO!F7)/SCENARIO!B7</x:f>
        <x:v>0.07579113918547958</x:v>
      </x:c>
      <x:c r="K7" s="37" t="n">
        <x:f aca="0">PARAMETRI!$B$4*($B$29*SCENARIO!C7+$C$29*SCENARIO!D7+$D$29*SCENARIO!E7+$E$29*SCENARIO!F7)/SCENARIO!B7</x:f>
        <x:v>0.07652946613414059</x:v>
      </x:c>
      <x:c r="L7" s="37" t="n">
        <x:f aca="0">PARAMETRI!$B$4*($B$30*SCENARIO!C7+$C$30*SCENARIO!D7+$D$30*SCENARIO!E7+$E$30*SCENARIO!F7)/SCENARIO!B7</x:f>
        <x:v>0.07726564334576821</x:v>
      </x:c>
      <x:c r="M7" s="37" t="n">
        <x:f aca="0">PARAMETRI!$B$4*($B$31*SCENARIO!C7+$C$31*SCENARIO!D7+$D$31*SCENARIO!E7+$E$31*SCENARIO!F7)/SCENARIO!B7</x:f>
        <x:v>0.08450728952875208</x:v>
      </x:c>
      <x:c r="N7" s="37" t="n">
        <x:f aca="0">PARAMETRI!$B$4*($B$32*SCENARIO!C7+$C$32*SCENARIO!D7+$D$32*SCENARIO!E7+$E$32*SCENARIO!F7)/SCENARIO!B7</x:f>
        <x:v>0.0706487990836348</x:v>
      </x:c>
    </x:row>
    <x:row r="8" ht="15" hidden="0" customHeight="1">
      <x:c r="A8" s="5" t="s">
        <x:v>110</x:v>
      </x:c>
      <x:c r="B8" s="26" t="n">
        <x:f aca="0">SCENARIO!I8</x:f>
        <x:v>0.06494590523702848</x:v>
      </x:c>
      <x:c r="C8" s="26" t="n">
        <x:f aca="0">SCENARIO!K8</x:f>
        <x:v>0.05154543074726011</x:v>
      </x:c>
      <x:c r="D8" s="26" t="n">
        <x:v>0.0509344038907758</x:v>
      </x:c>
      <x:c r="E8" s="26" t="n">
        <x:v>0.0793618026560424</x:v>
      </x:c>
      <x:c r="F8" s="26" t="n">
        <x:f aca="0">MIN(B8,J8:N8)</x:f>
        <x:v>0.06102137001460461</x:v>
      </x:c>
      <x:c r="G8" s="26" t="n">
        <x:f aca="0">MAX(B8,J8:N8)</x:f>
        <x:v>0.06713012429835011</x:v>
      </x:c>
      <x:c r="H8" s="36" t="n">
        <x:f aca="0">100*(B8-C8)</x:f>
        <x:v>1.3400474489768368</x:v>
      </x:c>
      <x:c r="I8" s="5" t="s">
        <x:v>104</x:v>
      </x:c>
      <x:c r="J8" s="37" t="n">
        <x:f aca="0">PARAMETRI!$B$4*($B$28*SCENARIO!C8+$C$28*SCENARIO!D8+$D$28*SCENARIO!E8+$E$28*SCENARIO!F8)/SCENARIO!B8</x:f>
        <x:v>0.06713012429835011</x:v>
      </x:c>
      <x:c r="K8" s="37" t="n">
        <x:f aca="0">PARAMETRI!$B$4*($B$29*SCENARIO!C8+$C$29*SCENARIO!D8+$D$29*SCENARIO!E8+$E$29*SCENARIO!F8)/SCENARIO!B8</x:f>
        <x:v>0.06102137001460461</x:v>
      </x:c>
      <x:c r="L8" s="37" t="n">
        <x:f aca="0">PARAMETRI!$B$4*($B$30*SCENARIO!C8+$C$30*SCENARIO!D8+$D$30*SCENARIO!E8+$E$30*SCENARIO!F8)/SCENARIO!B8</x:f>
        <x:v>0.06491060979725304</x:v>
      </x:c>
      <x:c r="M8" s="37" t="n">
        <x:f aca="0">PARAMETRI!$B$4*($B$31*SCENARIO!C8+$C$31*SCENARIO!D8+$D$31*SCENARIO!E8+$E$31*SCENARIO!F8)/SCENARIO!B8</x:f>
        <x:v>0.06587886972202403</x:v>
      </x:c>
      <x:c r="N8" s="37" t="n">
        <x:f aca="0">PARAMETRI!$B$4*($B$32*SCENARIO!C8+$C$32*SCENARIO!D8+$D$32*SCENARIO!E8+$E$32*SCENARIO!F8)/SCENARIO!B8</x:f>
        <x:v>0.0640638195594668</x:v>
      </x:c>
    </x:row>
    <x:row r="9" ht="15" hidden="0" customHeight="1">
      <x:c r="A9" s="5" t="s">
        <x:v>111</x:v>
      </x:c>
      <x:c r="B9" s="26" t="n">
        <x:f aca="0">SCENARIO!I9</x:f>
        <x:v>0.09213227545107762</x:v>
      </x:c>
      <x:c r="C9" s="26" t="n">
        <x:f aca="0">SCENARIO!K9</x:f>
        <x:v>0.09655552100568217</x:v>
      </x:c>
      <x:c r="D9" s="26" t="n">
        <x:v>0.0721055965357065</x:v>
      </x:c>
      <x:c r="E9" s="26" t="n">
        <x:v>0.112458404903772</x:v>
      </x:c>
      <x:c r="F9" s="26" t="n">
        <x:f aca="0">MIN(B9,J9:N9)</x:f>
        <x:v>0.08389216954095864</x:v>
      </x:c>
      <x:c r="G9" s="26" t="n">
        <x:f aca="0">MAX(B9,J9:N9)</x:f>
        <x:v>0.10051651762470856</x:v>
      </x:c>
      <x:c r="H9" s="36" t="n">
        <x:f aca="0">100*(B9-C9)</x:f>
        <x:v>-0.4423245554604549</x:v>
      </x:c>
      <x:c r="I9" s="5" t="s">
        <x:v>104</x:v>
      </x:c>
      <x:c r="J9" s="37" t="n">
        <x:f aca="0">PARAMETRI!$B$4*($B$28*SCENARIO!C9+$C$28*SCENARIO!D9+$D$28*SCENARIO!E9+$E$28*SCENARIO!F9)/SCENARIO!B9</x:f>
        <x:v>0.09220613557651959</x:v>
      </x:c>
      <x:c r="K9" s="37" t="n">
        <x:f aca="0">PARAMETRI!$B$4*($B$29*SCENARIO!C9+$C$29*SCENARIO!D9+$D$29*SCENARIO!E9+$E$29*SCENARIO!F9)/SCENARIO!B9</x:f>
        <x:v>0.09357516080930418</x:v>
      </x:c>
      <x:c r="L9" s="37" t="n">
        <x:f aca="0">PARAMETRI!$B$4*($B$30*SCENARIO!C9+$C$30*SCENARIO!D9+$D$30*SCENARIO!E9+$E$30*SCENARIO!F9)/SCENARIO!B9</x:f>
        <x:v>0.08425310753096715</x:v>
      </x:c>
      <x:c r="M9" s="37" t="n">
        <x:f aca="0">PARAMETRI!$B$4*($B$31*SCENARIO!C9+$C$31*SCENARIO!D9+$D$31*SCENARIO!E9+$E$31*SCENARIO!F9)/SCENARIO!B9</x:f>
        <x:v>0.10051651762470856</x:v>
      </x:c>
      <x:c r="N9" s="37" t="n">
        <x:f aca="0">PARAMETRI!$B$4*($B$32*SCENARIO!C9+$C$32*SCENARIO!D9+$D$32*SCENARIO!E9+$E$32*SCENARIO!F9)/SCENARIO!B9</x:f>
        <x:v>0.08389216954095864</x:v>
      </x:c>
    </x:row>
    <x:row r="10" ht="15" hidden="0" customHeight="1">
      <x:c r="A10" s="5" t="s">
        <x:v>112</x:v>
      </x:c>
      <x:c r="B10" s="26" t="n">
        <x:f aca="0">SCENARIO!I10</x:f>
        <x:v>0.08790973280732153</x:v>
      </x:c>
      <x:c r="C10" s="26" t="n">
        <x:f aca="0">SCENARIO!K10</x:f>
        <x:v>0.09310666872195121</x:v>
      </x:c>
      <x:c r="D10" s="26" t="n">
        <x:v>0.0668175542743814</x:v>
      </x:c>
      <x:c r="E10" s="26" t="n">
        <x:v>0.109480359787902</x:v>
      </x:c>
      <x:c r="F10" s="26" t="n">
        <x:f aca="0">MIN(B10,J10:N10)</x:f>
        <x:v>0.07293999877918607</x:v>
      </x:c>
      <x:c r="G10" s="26" t="n">
        <x:f aca="0">MAX(B10,J10:N10)</x:f>
        <x:v>0.11094265160059676</x:v>
      </x:c>
      <x:c r="H10" s="36" t="n">
        <x:f aca="0">100*(B10-C10)</x:f>
        <x:v>-0.5196935914629677</x:v>
      </x:c>
      <x:c r="I10" s="5" t="s">
        <x:v>104</x:v>
      </x:c>
      <x:c r="J10" s="37" t="n">
        <x:f aca="0">PARAMETRI!$B$4*($B$28*SCENARIO!C10+$C$28*SCENARIO!D10+$D$28*SCENARIO!E10+$E$28*SCENARIO!F10)/SCENARIO!B10</x:f>
        <x:v>0.0807578434303773</x:v>
      </x:c>
      <x:c r="K10" s="37" t="n">
        <x:f aca="0">PARAMETRI!$B$4*($B$29*SCENARIO!C10+$C$29*SCENARIO!D10+$D$29*SCENARIO!E10+$E$29*SCENARIO!F10)/SCENARIO!B10</x:f>
        <x:v>0.10049105355951272</x:v>
      </x:c>
      <x:c r="L10" s="37" t="n">
        <x:f aca="0">PARAMETRI!$B$4*($B$30*SCENARIO!C10+$C$30*SCENARIO!D10+$D$30*SCENARIO!E10+$E$30*SCENARIO!F10)/SCENARIO!B10</x:f>
        <x:v>0.08937013343886402</x:v>
      </x:c>
      <x:c r="M10" s="37" t="n">
        <x:f aca="0">PARAMETRI!$B$4*($B$31*SCENARIO!C10+$C$31*SCENARIO!D10+$D$31*SCENARIO!E10+$E$31*SCENARIO!F10)/SCENARIO!B10</x:f>
        <x:v>0.11094265160059676</x:v>
      </x:c>
      <x:c r="N10" s="37" t="n">
        <x:f aca="0">PARAMETRI!$B$4*($B$32*SCENARIO!C10+$C$32*SCENARIO!D10+$D$32*SCENARIO!E10+$E$32*SCENARIO!F10)/SCENARIO!B10</x:f>
        <x:v>0.07293999877918607</x:v>
      </x:c>
    </x:row>
    <x:row r="11" ht="15" hidden="0" customHeight="1">
      <x:c r="A11" s="5" t="s">
        <x:v>113</x:v>
      </x:c>
      <x:c r="B11" s="26" t="n">
        <x:f aca="0">SCENARIO!I11</x:f>
        <x:v>0.05639567119906047</x:v>
      </x:c>
      <x:c r="C11" s="26" t="n">
        <x:f aca="0">SCENARIO!K11</x:f>
        <x:v>0.06566206077166589</x:v>
      </x:c>
      <x:c r="D11" s="26" t="n">
        <x:v>0.044423829775558</x:v>
      </x:c>
      <x:c r="E11" s="26" t="n">
        <x:v>0.0686220951253492</x:v>
      </x:c>
      <x:c r="F11" s="26" t="n">
        <x:f aca="0">MIN(B11,J11:N11)</x:f>
        <x:v>0.05576432697570899</x:v>
      </x:c>
      <x:c r="G11" s="26" t="n">
        <x:f aca="0">MAX(B11,J11:N11)</x:f>
        <x:v>0.05821228437972308</x:v>
      </x:c>
      <x:c r="H11" s="36" t="n">
        <x:f aca="0">100*(B11-C11)</x:f>
        <x:v>-0.9266389572605421</x:v>
      </x:c>
      <x:c r="I11" s="5" t="s">
        <x:v>104</x:v>
      </x:c>
      <x:c r="J11" s="37" t="n">
        <x:f aca="0">PARAMETRI!$B$4*($B$28*SCENARIO!C11+$C$28*SCENARIO!D11+$D$28*SCENARIO!E11+$E$28*SCENARIO!F11)/SCENARIO!B11</x:f>
        <x:v>0.05654457208084879</x:v>
      </x:c>
      <x:c r="K11" s="37" t="n">
        <x:f aca="0">PARAMETRI!$B$4*($B$29*SCENARIO!C11+$C$29*SCENARIO!D11+$D$29*SCENARIO!E11+$E$29*SCENARIO!F11)/SCENARIO!B11</x:f>
        <x:v>0.05576432697570899</x:v>
      </x:c>
      <x:c r="L11" s="37" t="n">
        <x:f aca="0">PARAMETRI!$B$4*($B$30*SCENARIO!C11+$C$30*SCENARIO!D11+$D$30*SCENARIO!E11+$E$30*SCENARIO!F11)/SCENARIO!B11</x:f>
        <x:v>0.05821228437972308</x:v>
      </x:c>
      <x:c r="M11" s="37" t="n">
        <x:f aca="0">PARAMETRI!$B$4*($B$31*SCENARIO!C11+$C$31*SCENARIO!D11+$D$31*SCENARIO!E11+$E$31*SCENARIO!F11)/SCENARIO!B11</x:f>
        <x:v>0.057871637143489085</x:v>
      </x:c>
      <x:c r="N11" s="37" t="n">
        <x:f aca="0">PARAMETRI!$B$4*($B$32*SCENARIO!C11+$C$32*SCENARIO!D11+$D$32*SCENARIO!E11+$E$32*SCENARIO!F11)/SCENARIO!B11</x:f>
        <x:v>0.05589258890398039</x:v>
      </x:c>
    </x:row>
    <x:row r="12" ht="15" hidden="0" customHeight="1">
      <x:c r="A12" s="5" t="s">
        <x:v>114</x:v>
      </x:c>
      <x:c r="B12" s="26" t="n">
        <x:f aca="0">SCENARIO!I12</x:f>
        <x:v>0.06328004981496077</x:v>
      </x:c>
      <x:c r="C12" s="26" t="n">
        <x:f aca="0">SCENARIO!K12</x:f>
        <x:v>0.0640347709977253</x:v>
      </x:c>
      <x:c r="D12" s="26" t="n">
        <x:v>0.0490728217545165</x:v>
      </x:c>
      <x:c r="E12" s="26" t="n">
        <x:v>0.0781324833036987</x:v>
      </x:c>
      <x:c r="F12" s="26" t="n">
        <x:f aca="0">MIN(B12,J12:N12)</x:f>
        <x:v>0.05501694821308784</x:v>
      </x:c>
      <x:c r="G12" s="26" t="n">
        <x:f aca="0">MAX(B12,J12:N12)</x:f>
        <x:v>0.06854811186460959</x:v>
      </x:c>
      <x:c r="H12" s="36" t="n">
        <x:f aca="0">100*(B12-C12)</x:f>
        <x:v>-0.07547211827645256</x:v>
      </x:c>
      <x:c r="I12" s="5" t="s">
        <x:v>104</x:v>
      </x:c>
      <x:c r="J12" s="37" t="n">
        <x:f aca="0">PARAMETRI!$B$4*($B$28*SCENARIO!C12+$C$28*SCENARIO!D12+$D$28*SCENARIO!E12+$E$28*SCENARIO!F12)/SCENARIO!B12</x:f>
        <x:v>0.06854811186460959</x:v>
      </x:c>
      <x:c r="K12" s="37" t="n">
        <x:f aca="0">PARAMETRI!$B$4*($B$29*SCENARIO!C12+$C$29*SCENARIO!D12+$D$29*SCENARIO!E12+$E$29*SCENARIO!F12)/SCENARIO!B12</x:f>
        <x:v>0.05501694821308784</x:v>
      </x:c>
      <x:c r="L12" s="37" t="n">
        <x:f aca="0">PARAMETRI!$B$4*($B$30*SCENARIO!C12+$C$30*SCENARIO!D12+$D$30*SCENARIO!E12+$E$30*SCENARIO!F12)/SCENARIO!B12</x:f>
        <x:v>0.05718299937748599</x:v>
      </x:c>
      <x:c r="M12" s="37" t="n">
        <x:f aca="0">PARAMETRI!$B$4*($B$31*SCENARIO!C12+$C$31*SCENARIO!D12+$D$31*SCENARIO!E12+$E$31*SCENARIO!F12)/SCENARIO!B12</x:f>
        <x:v>0.05773693115061843</x:v>
      </x:c>
      <x:c r="N12" s="37" t="n">
        <x:f aca="0">PARAMETRI!$B$4*($B$32*SCENARIO!C12+$C$32*SCENARIO!D12+$D$32*SCENARIO!E12+$E$32*SCENARIO!F12)/SCENARIO!B12</x:f>
        <x:v>0.06480431154379308</x:v>
      </x:c>
    </x:row>
    <x:row r="13" ht="15" hidden="0" customHeight="1">
      <x:c r="A13" s="5" t="s">
        <x:v>115</x:v>
      </x:c>
      <x:c r="B13" s="26" t="n">
        <x:f aca="0">SCENARIO!I13</x:f>
        <x:v>0.054489126939598516</x:v>
      </x:c>
      <x:c r="C13" s="26" t="n">
        <x:f aca="0">SCENARIO!K13</x:f>
        <x:v>0.07508279393947365</x:v>
      </x:c>
      <x:c r="D13" s="26" t="n">
        <x:v>0.0421417250920132</x:v>
      </x:c>
      <x:c r="E13" s="26" t="n">
        <x:v>0.0671421391647316</x:v>
      </x:c>
      <x:c r="F13" s="26" t="n">
        <x:f aca="0">MIN(B13,J13:N13)</x:f>
        <x:v>0.050154942693149115</x:v>
      </x:c>
      <x:c r="G13" s="26" t="n">
        <x:f aca="0">MAX(B13,J13:N13)</x:f>
        <x:v>0.06264465973930064</x:v>
      </x:c>
      <x:c r="H13" s="36" t="n">
        <x:f aca="0">100*(B13-C13)</x:f>
        <x:v>-2.059366699987513</x:v>
      </x:c>
      <x:c r="I13" s="5" t="s">
        <x:v>104</x:v>
      </x:c>
      <x:c r="J13" s="37" t="n">
        <x:f aca="0">PARAMETRI!$B$4*($B$28*SCENARIO!C13+$C$28*SCENARIO!D13+$D$28*SCENARIO!E13+$E$28*SCENARIO!F13)/SCENARIO!B13</x:f>
        <x:v>0.050154942693149115</x:v>
      </x:c>
      <x:c r="K13" s="37" t="n">
        <x:f aca="0">PARAMETRI!$B$4*($B$29*SCENARIO!C13+$C$29*SCENARIO!D13+$D$29*SCENARIO!E13+$E$29*SCENARIO!F13)/SCENARIO!B13</x:f>
        <x:v>0.06094986754434405</x:v>
      </x:c>
      <x:c r="L13" s="37" t="n">
        <x:f aca="0">PARAMETRI!$B$4*($B$30*SCENARIO!C13+$C$30*SCENARIO!D13+$D$30*SCENARIO!E13+$E$30*SCENARIO!F13)/SCENARIO!B13</x:f>
        <x:v>0.06119308213391549</x:v>
      </x:c>
      <x:c r="M13" s="37" t="n">
        <x:f aca="0">PARAMETRI!$B$4*($B$31*SCENARIO!C13+$C$31*SCENARIO!D13+$D$31*SCENARIO!E13+$E$31*SCENARIO!F13)/SCENARIO!B13</x:f>
        <x:v>0.06264465973930064</x:v>
      </x:c>
      <x:c r="N13" s="37" t="n">
        <x:f aca="0">PARAMETRI!$B$4*($B$32*SCENARIO!C13+$C$32*SCENARIO!D13+$D$32*SCENARIO!E13+$E$32*SCENARIO!F13)/SCENARIO!B13</x:f>
        <x:v>0.05122485896274706</x:v>
      </x:c>
    </x:row>
    <x:row r="14" ht="15" hidden="0" customHeight="1">
      <x:c r="A14" s="5" t="s">
        <x:v>116</x:v>
      </x:c>
      <x:c r="B14" s="26" t="n">
        <x:f aca="0">SCENARIO!I14</x:f>
        <x:v>0.06967056405357376</x:v>
      </x:c>
      <x:c r="C14" s="26" t="n">
        <x:f aca="0">SCENARIO!K14</x:f>
        <x:v>0.07819909229393067</x:v>
      </x:c>
      <x:c r="D14" s="26" t="n">
        <x:v>0.0547725916364662</x:v>
      </x:c>
      <x:c r="E14" s="26" t="n">
        <x:v>0.0847850730902393</x:v>
      </x:c>
      <x:c r="F14" s="26" t="n">
        <x:f aca="0">MIN(B14,J14:N14)</x:f>
        <x:v>0.06728593444204094</x:v>
      </x:c>
      <x:c r="G14" s="26" t="n">
        <x:f aca="0">MAX(B14,J14:N14)</x:f>
        <x:v>0.07289878956766539</x:v>
      </x:c>
      <x:c r="H14" s="36" t="n">
        <x:f aca="0">100*(B14-C14)</x:f>
        <x:v>-0.8528528240356908</x:v>
      </x:c>
      <x:c r="I14" s="5" t="s">
        <x:v>104</x:v>
      </x:c>
      <x:c r="J14" s="37" t="n">
        <x:f aca="0">PARAMETRI!$B$4*($B$28*SCENARIO!C14+$C$28*SCENARIO!D14+$D$28*SCENARIO!E14+$E$28*SCENARIO!F14)/SCENARIO!B14</x:f>
        <x:v>0.0687687511105432</x:v>
      </x:c>
      <x:c r="K14" s="37" t="n">
        <x:f aca="0">PARAMETRI!$B$4*($B$29*SCENARIO!C14+$C$29*SCENARIO!D14+$D$29*SCENARIO!E14+$E$29*SCENARIO!F14)/SCENARIO!B14</x:f>
        <x:v>0.07143719604834323</x:v>
      </x:c>
      <x:c r="L14" s="37" t="n">
        <x:f aca="0">PARAMETRI!$B$4*($B$30*SCENARIO!C14+$C$30*SCENARIO!D14+$D$30*SCENARIO!E14+$E$30*SCENARIO!F14)/SCENARIO!B14</x:f>
        <x:v>0.06895372056700134</x:v>
      </x:c>
      <x:c r="M14" s="37" t="n">
        <x:f aca="0">PARAMETRI!$B$4*($B$31*SCENARIO!C14+$C$31*SCENARIO!D14+$D$31*SCENARIO!E14+$E$31*SCENARIO!F14)/SCENARIO!B14</x:f>
        <x:v>0.07289878956766539</x:v>
      </x:c>
      <x:c r="N14" s="37" t="n">
        <x:f aca="0">PARAMETRI!$B$4*($B$32*SCENARIO!C14+$C$32*SCENARIO!D14+$D$32*SCENARIO!E14+$E$32*SCENARIO!F14)/SCENARIO!B14</x:f>
        <x:v>0.06728593444204094</x:v>
      </x:c>
    </x:row>
    <x:row r="15" ht="15" hidden="0" customHeight="1">
      <x:c r="A15" s="5" t="s">
        <x:v>117</x:v>
      </x:c>
      <x:c r="B15" s="26" t="n">
        <x:f aca="0">SCENARIO!I15</x:f>
        <x:v>0.06560428228756475</x:v>
      </x:c>
      <x:c r="C15" s="26" t="n">
        <x:f aca="0">SCENARIO!K15</x:f>
        <x:v>0.07565024799483419</x:v>
      </x:c>
      <x:c r="D15" s="26" t="n">
        <x:v>0.0507502476858705</x:v>
      </x:c>
      <x:c r="E15" s="26" t="n">
        <x:v>0.0808020499828815</x:v>
      </x:c>
      <x:c r="F15" s="26" t="n">
        <x:f aca="0">MIN(B15,J15:N15)</x:f>
        <x:v>0.06065533392929817</x:v>
      </x:c>
      <x:c r="G15" s="26" t="n">
        <x:f aca="0">MAX(B15,J15:N15)</x:f>
        <x:v>0.07399945699518627</x:v>
      </x:c>
      <x:c r="H15" s="36" t="n">
        <x:f aca="0">100*(B15-C15)</x:f>
        <x:v>-1.0045965707269442</x:v>
      </x:c>
      <x:c r="I15" s="5" t="s">
        <x:v>104</x:v>
      </x:c>
      <x:c r="J15" s="37" t="n">
        <x:f aca="0">PARAMETRI!$B$4*($B$28*SCENARIO!C15+$C$28*SCENARIO!D15+$D$28*SCENARIO!E15+$E$28*SCENARIO!F15)/SCENARIO!B15</x:f>
        <x:v>0.06065533392929817</x:v>
      </x:c>
      <x:c r="K15" s="37" t="n">
        <x:f aca="0">PARAMETRI!$B$4*($B$29*SCENARIO!C15+$C$29*SCENARIO!D15+$D$29*SCENARIO!E15+$E$29*SCENARIO!F15)/SCENARIO!B15</x:f>
        <x:v>0.07283335439092031</x:v>
      </x:c>
      <x:c r="L15" s="37" t="n">
        <x:f aca="0">PARAMETRI!$B$4*($B$30*SCENARIO!C15+$C$30*SCENARIO!D15+$D$30*SCENARIO!E15+$E$30*SCENARIO!F15)/SCENARIO!B15</x:f>
        <x:v>0.07399945699518627</x:v>
      </x:c>
      <x:c r="M15" s="37" t="n">
        <x:f aca="0">PARAMETRI!$B$4*($B$31*SCENARIO!C15+$C$31*SCENARIO!D15+$D$31*SCENARIO!E15+$E$31*SCENARIO!F15)/SCENARIO!B15</x:f>
        <x:v>0.06814361937862383</x:v>
      </x:c>
      <x:c r="N15" s="37" t="n">
        <x:f aca="0">PARAMETRI!$B$4*($B$32*SCENARIO!C15+$C$32*SCENARIO!D15+$D$32*SCENARIO!E15+$E$32*SCENARIO!F15)/SCENARIO!B15</x:f>
        <x:v>0.06684019357193652</x:v>
      </x:c>
    </x:row>
    <x:row r="16" ht="15" hidden="0" customHeight="1">
      <x:c r="A16" s="5" t="s">
        <x:v>118</x:v>
      </x:c>
      <x:c r="B16" s="26" t="n">
        <x:f aca="0">SCENARIO!I16</x:f>
        <x:v>0.06595961211809757</x:v>
      </x:c>
      <x:c r="C16" s="26" t="n">
        <x:f aca="0">SCENARIO!K16</x:f>
        <x:v>0.07854759760179882</x:v>
      </x:c>
      <x:c r="D16" s="26" t="n">
        <x:v>0.0504733983614521</x:v>
      </x:c>
      <x:c r="E16" s="26" t="n">
        <x:v>0.0819186789035762</x:v>
      </x:c>
      <x:c r="F16" s="26" t="n">
        <x:f aca="0">MIN(B16,J16:N16)</x:f>
        <x:v>0.06012023556118334</x:v>
      </x:c>
      <x:c r="G16" s="26" t="n">
        <x:f aca="0">MAX(B16,J16:N16)</x:f>
        <x:v>0.07624500523856383</x:v>
      </x:c>
      <x:c r="H16" s="36" t="n">
        <x:f aca="0">100*(B16-C16)</x:f>
        <x:v>-1.258798548370124</x:v>
      </x:c>
      <x:c r="I16" s="5" t="s">
        <x:v>104</x:v>
      </x:c>
      <x:c r="J16" s="37" t="n">
        <x:f aca="0">PARAMETRI!$B$4*($B$28*SCENARIO!C16+$C$28*SCENARIO!D16+$D$28*SCENARIO!E16+$E$28*SCENARIO!F16)/SCENARIO!B16</x:f>
        <x:v>0.06012023556118334</x:v>
      </x:c>
      <x:c r="K16" s="37" t="n">
        <x:f aca="0">PARAMETRI!$B$4*($B$29*SCENARIO!C16+$C$29*SCENARIO!D16+$D$29*SCENARIO!E16+$E$29*SCENARIO!F16)/SCENARIO!B16</x:f>
        <x:v>0.07441341129644996</x:v>
      </x:c>
      <x:c r="L16" s="37" t="n">
        <x:f aca="0">PARAMETRI!$B$4*($B$30*SCENARIO!C16+$C$30*SCENARIO!D16+$D$30*SCENARIO!E16+$E$30*SCENARIO!F16)/SCENARIO!B16</x:f>
        <x:v>0.07624500523856383</x:v>
      </x:c>
      <x:c r="M16" s="37" t="n">
        <x:f aca="0">PARAMETRI!$B$4*($B$31*SCENARIO!C16+$C$31*SCENARIO!D16+$D$31*SCENARIO!E16+$E$31*SCENARIO!F16)/SCENARIO!B16</x:f>
        <x:v>0.06553610108454068</x:v>
      </x:c>
      <x:c r="N16" s="37" t="n">
        <x:f aca="0">PARAMETRI!$B$4*($B$32*SCENARIO!C16+$C$32*SCENARIO!D16+$D$32*SCENARIO!E16+$E$32*SCENARIO!F16)/SCENARIO!B16</x:f>
        <x:v>0.06992562543341871</x:v>
      </x:c>
    </x:row>
    <x:row r="17" ht="15" hidden="0" customHeight="1">
      <x:c r="A17" s="5" t="s">
        <x:v>119</x:v>
      </x:c>
      <x:c r="B17" s="26" t="n">
        <x:f aca="0">SCENARIO!I17</x:f>
        <x:v>0.08700937058126956</x:v>
      </x:c>
      <x:c r="C17" s="26" t="n">
        <x:f aca="0">SCENARIO!K17</x:f>
        <x:v>0.08359000061930902</x:v>
      </x:c>
      <x:c r="D17" s="26" t="n">
        <x:v>0.0665452318872571</x:v>
      </x:c>
      <x:c r="E17" s="26" t="n">
        <x:v>0.107876654222852</x:v>
      </x:c>
      <x:c r="F17" s="26" t="n">
        <x:f aca="0">MIN(B17,J17:N17)</x:f>
        <x:v>0.07670452305631485</x:v>
      </x:c>
      <x:c r="G17" s="26" t="n">
        <x:f aca="0">MAX(B17,J17:N17)</x:f>
        <x:v>0.10339549824345458</x:v>
      </x:c>
      <x:c r="H17" s="36" t="n">
        <x:f aca="0">100*(B17-C17)</x:f>
        <x:v>0.34193699619605444</x:v>
      </x:c>
      <x:c r="I17" s="5" t="s">
        <x:v>104</x:v>
      </x:c>
      <x:c r="J17" s="37" t="n">
        <x:f aca="0">PARAMETRI!$B$4*($B$28*SCENARIO!C17+$C$28*SCENARIO!D17+$D$28*SCENARIO!E17+$E$28*SCENARIO!F17)/SCENARIO!B17</x:f>
        <x:v>0.07994069925477626</x:v>
      </x:c>
      <x:c r="K17" s="37" t="n">
        <x:f aca="0">PARAMETRI!$B$4*($B$29*SCENARIO!C17+$C$29*SCENARIO!D17+$D$29*SCENARIO!E17+$E$29*SCENARIO!F17)/SCENARIO!B17</x:f>
        <x:v>0.09942726249834051</x:v>
      </x:c>
      <x:c r="L17" s="37" t="n">
        <x:f aca="0">PARAMETRI!$B$4*($B$30*SCENARIO!C17+$C$30*SCENARIO!D17+$D$30*SCENARIO!E17+$E$30*SCENARIO!F17)/SCENARIO!B17</x:f>
        <x:v>0.08853795293435446</x:v>
      </x:c>
      <x:c r="M17" s="37" t="n">
        <x:f aca="0">PARAMETRI!$B$4*($B$31*SCENARIO!C17+$C$31*SCENARIO!D17+$D$31*SCENARIO!E17+$E$31*SCENARIO!F17)/SCENARIO!B17</x:f>
        <x:v>0.10339549824345458</x:v>
      </x:c>
      <x:c r="N17" s="37" t="n">
        <x:f aca="0">PARAMETRI!$B$4*($B$32*SCENARIO!C17+$C$32*SCENARIO!D17+$D$32*SCENARIO!E17+$E$32*SCENARIO!F17)/SCENARIO!B17</x:f>
        <x:v>0.07670452305631485</x:v>
      </x:c>
    </x:row>
    <x:row r="18" ht="15" hidden="0" customHeight="1">
      <x:c r="A18" s="5" t="s">
        <x:v>120</x:v>
      </x:c>
      <x:c r="B18" s="26" t="n">
        <x:f aca="0">SCENARIO!I18</x:f>
        <x:v>0.05782022354652154</x:v>
      </x:c>
      <x:c r="C18" s="26" t="n">
        <x:f aca="0">SCENARIO!K18</x:f>
        <x:v>0.047926146618100095</x:v>
      </x:c>
      <x:c r="D18" s="26" t="n">
        <x:v>0.045194112915272</x:v>
      </x:c>
      <x:c r="E18" s="26" t="n">
        <x:v>0.0707952040359616</x:v>
      </x:c>
      <x:c r="F18" s="26" t="n">
        <x:f aca="0">MIN(B18,J18:N18)</x:f>
        <x:v>0.05239486200471496</x:v>
      </x:c>
      <x:c r="G18" s="26" t="n">
        <x:f aca="0">MAX(B18,J18:N18)</x:f>
        <x:v>0.06496094388466632</x:v>
      </x:c>
      <x:c r="H18" s="36" t="n">
        <x:f aca="0">100*(B18-C18)</x:f>
        <x:v>0.9894076928421446</x:v>
      </x:c>
      <x:c r="I18" s="5" t="s">
        <x:v>104</x:v>
      </x:c>
      <x:c r="J18" s="37" t="n">
        <x:f aca="0">PARAMETRI!$B$4*($B$28*SCENARIO!C18+$C$28*SCENARIO!D18+$D$28*SCENARIO!E18+$E$28*SCENARIO!F18)/SCENARIO!B18</x:f>
        <x:v>0.05660437647052215</x:v>
      </x:c>
      <x:c r="K18" s="37" t="n">
        <x:f aca="0">PARAMETRI!$B$4*($B$29*SCENARIO!C18+$C$29*SCENARIO!D18+$D$29*SCENARIO!E18+$E$29*SCENARIO!F18)/SCENARIO!B18</x:f>
        <x:v>0.0585806042156915</x:v>
      </x:c>
      <x:c r="L18" s="37" t="n">
        <x:f aca="0">PARAMETRI!$B$4*($B$30*SCENARIO!C18+$C$30*SCENARIO!D18+$D$30*SCENARIO!E18+$E$30*SCENARIO!F18)/SCENARIO!B18</x:f>
        <x:v>0.06496094388466632</x:v>
      </x:c>
      <x:c r="M18" s="37" t="n">
        <x:f aca="0">PARAMETRI!$B$4*($B$31*SCENARIO!C18+$C$31*SCENARIO!D18+$D$31*SCENARIO!E18+$E$31*SCENARIO!F18)/SCENARIO!B18</x:f>
        <x:v>0.05239486200471496</x:v>
      </x:c>
      <x:c r="N18" s="37" t="n">
        <x:f aca="0">PARAMETRI!$B$4*($B$32*SCENARIO!C18+$C$32*SCENARIO!D18+$D$32*SCENARIO!E18+$E$32*SCENARIO!F18)/SCENARIO!B18</x:f>
        <x:v>0.06388177743482952</x:v>
      </x:c>
    </x:row>
    <x:row r="19" ht="15" hidden="0" customHeight="1">
      <x:c r="A19" s="5" t="s">
        <x:v>121</x:v>
      </x:c>
      <x:c r="B19" s="26" t="n">
        <x:f aca="0">SCENARIO!I19</x:f>
        <x:v>0.07274431080684558</x:v>
      </x:c>
      <x:c r="C19" s="26" t="n">
        <x:f aca="0">SCENARIO!K19</x:f>
        <x:v>0.0630628235670212</x:v>
      </x:c>
      <x:c r="D19" s="26" t="n">
        <x:v>0.0562648796072852</x:v>
      </x:c>
      <x:c r="E19" s="26" t="n">
        <x:v>0.0898450464972041</x:v>
      </x:c>
      <x:c r="F19" s="26" t="n">
        <x:f aca="0">MIN(B19,J19:N19)</x:f>
        <x:v>0.057435340135334585</x:v>
      </x:c>
      <x:c r="G19" s="26" t="n">
        <x:f aca="0">MAX(B19,J19:N19)</x:f>
        <x:v>0.08331991113868083</x:v>
      </x:c>
      <x:c r="H19" s="36" t="n">
        <x:f aca="0">100*(B19-C19)</x:f>
        <x:v>0.9681487239824385</x:v>
      </x:c>
      <x:c r="I19" s="5" t="s">
        <x:v>104</x:v>
      </x:c>
      <x:c r="J19" s="37" t="n">
        <x:f aca="0">PARAMETRI!$B$4*($B$28*SCENARIO!C19+$C$28*SCENARIO!D19+$D$28*SCENARIO!E19+$E$28*SCENARIO!F19)/SCENARIO!B19</x:f>
        <x:v>0.07237811926476403</x:v>
      </x:c>
      <x:c r="K19" s="37" t="n">
        <x:f aca="0">PARAMETRI!$B$4*($B$29*SCENARIO!C19+$C$29*SCENARIO!D19+$D$29*SCENARIO!E19+$E$29*SCENARIO!F19)/SCENARIO!B19</x:f>
        <x:v>0.0735216544442128</x:v>
      </x:c>
      <x:c r="L19" s="37" t="n">
        <x:f aca="0">PARAMETRI!$B$4*($B$30*SCENARIO!C19+$C$30*SCENARIO!D19+$D$30*SCENARIO!E19+$E$30*SCENARIO!F19)/SCENARIO!B19</x:f>
        <x:v>0.07215331649874351</x:v>
      </x:c>
      <x:c r="M19" s="37" t="n">
        <x:f aca="0">PARAMETRI!$B$4*($B$31*SCENARIO!C19+$C$31*SCENARIO!D19+$D$31*SCENARIO!E19+$E$31*SCENARIO!F19)/SCENARIO!B19</x:f>
        <x:v>0.057435340135334585</x:v>
      </x:c>
      <x:c r="N19" s="37" t="n">
        <x:f aca="0">PARAMETRI!$B$4*($B$32*SCENARIO!C19+$C$32*SCENARIO!D19+$D$32*SCENARIO!E19+$E$32*SCENARIO!F19)/SCENARIO!B19</x:f>
        <x:v>0.08331991113868083</x:v>
      </x:c>
    </x:row>
    <x:row r="20" ht="15" hidden="0" customHeight="1">
      <x:c r="A20" s="5" t="s">
        <x:v>122</x:v>
      </x:c>
      <x:c r="B20" s="26" t="n">
        <x:f aca="0">SCENARIO!I20</x:f>
        <x:v>0.07370280746089862</x:v>
      </x:c>
      <x:c r="C20" s="26" t="n">
        <x:f aca="0">SCENARIO!K20</x:f>
        <x:v>0.05885982749724169</x:v>
      </x:c>
      <x:c r="D20" s="26" t="n">
        <x:v>0.055906259020271</x:v>
      </x:c>
      <x:c r="E20" s="26" t="n">
        <x:v>0.0927495044420452</x:v>
      </x:c>
      <x:c r="F20" s="26" t="n">
        <x:f aca="0">MIN(B20,J20:N20)</x:f>
        <x:v>0.054016499601064465</x:v>
      </x:c>
      <x:c r="G20" s="26" t="n">
        <x:f aca="0">MAX(B20,J20:N20)</x:f>
        <x:v>0.08573536097674106</x:v>
      </x:c>
      <x:c r="H20" s="36" t="n">
        <x:f aca="0">100*(B20-C20)</x:f>
        <x:v>1.484297996365693</x:v>
      </x:c>
      <x:c r="I20" s="5" t="s">
        <x:v>104</x:v>
      </x:c>
      <x:c r="J20" s="37" t="n">
        <x:f aca="0">PARAMETRI!$B$4*($B$28*SCENARIO!C20+$C$28*SCENARIO!D20+$D$28*SCENARIO!E20+$E$28*SCENARIO!F20)/SCENARIO!B20</x:f>
        <x:v>0.08184912523749337</x:v>
      </x:c>
      <x:c r="K20" s="37" t="n">
        <x:f aca="0">PARAMETRI!$B$4*($B$29*SCENARIO!C20+$C$29*SCENARIO!D20+$D$29*SCENARIO!E20+$E$29*SCENARIO!F20)/SCENARIO!B20</x:f>
        <x:v>0.05966158893528272</x:v>
      </x:c>
      <x:c r="L20" s="37" t="n">
        <x:f aca="0">PARAMETRI!$B$4*($B$30*SCENARIO!C20+$C$30*SCENARIO!D20+$D$30*SCENARIO!E20+$E$30*SCENARIO!F20)/SCENARIO!B20</x:f>
        <x:v>0.07059204009962533</x:v>
      </x:c>
      <x:c r="M20" s="37" t="n">
        <x:f aca="0">PARAMETRI!$B$4*($B$31*SCENARIO!C20+$C$31*SCENARIO!D20+$D$31*SCENARIO!E20+$E$31*SCENARIO!F20)/SCENARIO!B20</x:f>
        <x:v>0.054016499601064465</x:v>
      </x:c>
      <x:c r="N20" s="37" t="n">
        <x:f aca="0">PARAMETRI!$B$4*($B$32*SCENARIO!C20+$C$32*SCENARIO!D20+$D$32*SCENARIO!E20+$E$32*SCENARIO!F20)/SCENARIO!B20</x:f>
        <x:v>0.08573536097674106</x:v>
      </x:c>
    </x:row>
    <x:row r="21" ht="15" hidden="0" customHeight="1">
      <x:c r="A21" s="5" t="s">
        <x:v>123</x:v>
      </x:c>
      <x:c r="B21" s="26" t="n">
        <x:f aca="0">SCENARIO!I21</x:f>
        <x:v>0.10384130725318118</x:v>
      </x:c>
      <x:c r="C21" s="26" t="n">
        <x:f aca="0">SCENARIO!K21</x:f>
        <x:v>0.05663435910979199</x:v>
      </x:c>
      <x:c r="D21" s="26" t="n">
        <x:v>0.0780657344040939</x:v>
      </x:c>
      <x:c r="E21" s="26" t="n">
        <x:v>0.131978321972773</x:v>
      </x:c>
      <x:c r="F21" s="26" t="n">
        <x:f aca="0">MIN(B21,J21:N21)</x:f>
        <x:v>0.07073367782959616</x:v>
      </x:c>
      <x:c r="G21" s="26" t="n">
        <x:f aca="0">MAX(B21,J21:N21)</x:f>
        <x:v>0.11935716831225683</x:v>
      </x:c>
      <x:c r="H21" s="36" t="n">
        <x:f aca="0">100*(B21-C21)</x:f>
        <x:v>4.720694814338919</x:v>
      </x:c>
      <x:c r="I21" s="5" t="s">
        <x:v>104</x:v>
      </x:c>
      <x:c r="J21" s="37" t="n">
        <x:f aca="0">PARAMETRI!$B$4*($B$28*SCENARIO!C21+$C$28*SCENARIO!D21+$D$28*SCENARIO!E21+$E$28*SCENARIO!F21)/SCENARIO!B21</x:f>
        <x:v>0.11935716831225683</x:v>
      </x:c>
      <x:c r="K21" s="37" t="n">
        <x:f aca="0">PARAMETRI!$B$4*($B$29*SCENARIO!C21+$C$29*SCENARIO!D21+$D$29*SCENARIO!E21+$E$29*SCENARIO!F21)/SCENARIO!B21</x:f>
        <x:v>0.08107019828180012</x:v>
      </x:c>
      <x:c r="L21" s="37" t="n">
        <x:f aca="0">PARAMETRI!$B$4*($B$30*SCENARIO!C21+$C$30*SCENARIO!D21+$D$30*SCENARIO!E21+$E$30*SCENARIO!F21)/SCENARIO!B21</x:f>
        <x:v>0.07805410257840568</x:v>
      </x:c>
      <x:c r="M21" s="37" t="n">
        <x:f aca="0">PARAMETRI!$B$4*($B$31*SCENARIO!C21+$C$31*SCENARIO!D21+$D$31*SCENARIO!E21+$E$31*SCENARIO!F21)/SCENARIO!B21</x:f>
        <x:v>0.07073367782959616</x:v>
      </x:c>
      <x:c r="N21" s="37" t="n">
        <x:f aca="0">PARAMETRI!$B$4*($B$32*SCENARIO!C21+$C$32*SCENARIO!D21+$D$32*SCENARIO!E21+$E$32*SCENARIO!F21)/SCENARIO!B21</x:f>
        <x:v>0.11772890034135046</x:v>
      </x:c>
    </x:row>
    <x:row r="22" ht="15" hidden="0" customHeight="1">
      <x:c r="A22" s="5" t="s">
        <x:v>124</x:v>
      </x:c>
      <x:c r="B22" s="26" t="n">
        <x:f aca="0">SCENARIO!I22</x:f>
        <x:v>0.06710190863417498</x:v>
      </x:c>
      <x:c r="C22" s="26" t="n">
        <x:f aca="0">SCENARIO!K22</x:f>
        <x:v>0.05263759835352977</x:v>
      </x:c>
      <x:c r="D22" s="26" t="n">
        <x:v>0.0523345243139777</x:v>
      </x:c>
      <x:c r="E22" s="26" t="n">
        <x:v>0.0823131240719074</x:v>
      </x:c>
      <x:c r="F22" s="26" t="n">
        <x:f aca="0">MIN(B22,J22:N22)</x:f>
        <x:v>0.06016166285302158</x:v>
      </x:c>
      <x:c r="G22" s="26" t="n">
        <x:f aca="0">MAX(B22,J22:N22)</x:f>
        <x:v>0.07815655491957241</x:v>
      </x:c>
      <x:c r="H22" s="36" t="n">
        <x:f aca="0">100*(B22-C22)</x:f>
        <x:v>1.446431028064521</x:v>
      </x:c>
      <x:c r="I22" s="5" t="s">
        <x:v>104</x:v>
      </x:c>
      <x:c r="J22" s="37" t="n">
        <x:f aca="0">PARAMETRI!$B$4*($B$28*SCENARIO!C22+$C$28*SCENARIO!D22+$D$28*SCENARIO!E22+$E$28*SCENARIO!F22)/SCENARIO!B22</x:f>
        <x:v>0.06568728995948979</x:v>
      </x:c>
      <x:c r="K22" s="37" t="n">
        <x:f aca="0">PARAMETRI!$B$4*($B$29*SCENARIO!C22+$C$29*SCENARIO!D22+$D$29*SCENARIO!E22+$E$29*SCENARIO!F22)/SCENARIO!B22</x:f>
        <x:v>0.06743729299152888</x:v>
      </x:c>
      <x:c r="L22" s="37" t="n">
        <x:f aca="0">PARAMETRI!$B$4*($B$30*SCENARIO!C22+$C$30*SCENARIO!D22+$D$30*SCENARIO!E22+$E$30*SCENARIO!F22)/SCENARIO!B22</x:f>
        <x:v>0.07815655491957241</x:v>
      </x:c>
      <x:c r="M22" s="37" t="n">
        <x:f aca="0">PARAMETRI!$B$4*($B$31*SCENARIO!C22+$C$31*SCENARIO!D22+$D$31*SCENARIO!E22+$E$31*SCENARIO!F22)/SCENARIO!B22</x:f>
        <x:v>0.06016166285302158</x:v>
      </x:c>
      <x:c r="N22" s="37" t="n">
        <x:f aca="0">PARAMETRI!$B$4*($B$32*SCENARIO!C22+$C$32*SCENARIO!D22+$D$32*SCENARIO!E22+$E$32*SCENARIO!F22)/SCENARIO!B22</x:f>
        <x:v>0.07541793643407012</x:v>
      </x:c>
    </x:row>
    <x:row r="23" ht="15" hidden="0" customHeight="1">
      <x:c r="A23" s="5" t="s">
        <x:v>125</x:v>
      </x:c>
      <x:c r="B23" s="26" t="n">
        <x:f aca="0">SCENARIO!I23</x:f>
        <x:v>0.08435660244256611</x:v>
      </x:c>
      <x:c r="C23" s="26" t="n">
        <x:f aca="0">SCENARIO!K23</x:f>
        <x:v>0.0577064629742259</x:v>
      </x:c>
      <x:c r="D23" s="26" t="n">
        <x:v>0.0644120696171894</x:v>
      </x:c>
      <x:c r="E23" s="26" t="n">
        <x:v>0.104660990493894</x:v>
      </x:c>
      <x:c r="F23" s="26" t="n">
        <x:f aca="0">MIN(B23,J23:N23)</x:f>
        <x:v>0.07815129518874717</x:v>
      </x:c>
      <x:c r="G23" s="26" t="n">
        <x:f aca="0">MAX(B23,J23:N23)</x:f>
        <x:v>0.09641661354643125</x:v>
      </x:c>
      <x:c r="H23" s="36" t="n">
        <x:f aca="0">100*(B23-C23)</x:f>
        <x:v>2.665013946834021</x:v>
      </x:c>
      <x:c r="I23" s="5" t="s">
        <x:v>109</x:v>
      </x:c>
      <x:c r="J23" s="37" t="n">
        <x:f aca="0">PARAMETRI!$B$4*($B$28*SCENARIO!C23+$C$28*SCENARIO!D23+$D$28*SCENARIO!E23+$E$28*SCENARIO!F23)/SCENARIO!B23</x:f>
        <x:v>0.07815129518874717</x:v>
      </x:c>
      <x:c r="K23" s="37" t="n">
        <x:f aca="0">PARAMETRI!$B$4*($B$29*SCENARIO!C23+$C$29*SCENARIO!D23+$D$29*SCENARIO!E23+$E$29*SCENARIO!F23)/SCENARIO!B23</x:f>
        <x:v>0.09641661354643125</x:v>
      </x:c>
      <x:c r="L23" s="37" t="n">
        <x:f aca="0">PARAMETRI!$B$4*($B$30*SCENARIO!C23+$C$30*SCENARIO!D23+$D$30*SCENARIO!E23+$E$30*SCENARIO!F23)/SCENARIO!B23</x:f>
        <x:v>0.079904312207611</x:v>
      </x:c>
      <x:c r="M23" s="37" t="n">
        <x:f aca="0">PARAMETRI!$B$4*($B$31*SCENARIO!C23+$C$31*SCENARIO!D23+$D$31*SCENARIO!E23+$E$31*SCENARIO!F23)/SCENARIO!B23</x:f>
        <x:v>0.09006522435428227</x:v>
      </x:c>
      <x:c r="N23" s="37" t="n">
        <x:f aca="0">PARAMETRI!$B$4*($B$32*SCENARIO!C23+$C$32*SCENARIO!D23+$D$32*SCENARIO!E23+$E$32*SCENARIO!F23)/SCENARIO!B23</x:f>
        <x:v>0.07964541075926017</x:v>
      </x:c>
    </x:row>
    <x:row r="24" ht="15" hidden="0">
      <x:c r="A24" s="24" t="s">
        <x:v>155</x:v>
      </x:c>
      <x:c r="J24" s="38" t="n">
        <x:f aca="0">SUM(CONTROLLO_FORMULE!F4:F23)/LN(20)</x:f>
        <x:v>0.8834550077152273</x:v>
      </x:c>
      <x:c r="K24" s="38" t="n">
        <x:f aca="0">SUM(CONTROLLO_FORMULE!G4:G23)/LN(20)</x:f>
        <x:v>0.8839847250202462</x:v>
      </x:c>
      <x:c r="L24" s="38" t="n">
        <x:f aca="0">SUM(CONTROLLO_FORMULE!H4:H23)/LN(20)</x:f>
        <x:v>0.8827501493103025</x:v>
      </x:c>
      <x:c r="M24" s="38" t="n">
        <x:f aca="0">SUM(CONTROLLO_FORMULE!I4:I23)/LN(20)</x:f>
        <x:v>0.8723230550468434</x:v>
      </x:c>
      <x:c r="N24" s="38" t="n">
        <x:f aca="0">SUM(CONTROLLO_FORMULE!J4:J23)/LN(20)</x:f>
        <x:v>0.8897952205356758</x:v>
      </x:c>
    </x:row>
    <x:row r="26" ht="15" hidden="0">
      <x:c r="A26" s="23" t="s">
        <x:v>156</x:v>
      </x:c>
    </x:row>
    <x:row r="27" ht="15" hidden="0">
      <x:c r="A27" s="8" t="s">
        <x:v>157</x:v>
      </x:c>
      <x:c r="B27" s="8" t="s">
        <x:v>158</x:v>
      </x:c>
      <x:c r="C27" s="8" t="s">
        <x:v>92</x:v>
      </x:c>
      <x:c r="D27" s="8" t="s">
        <x:v>93</x:v>
      </x:c>
      <x:c r="E27" s="8" t="s">
        <x:v>159</x:v>
      </x:c>
    </x:row>
    <x:row r="28" ht="15" hidden="0">
      <x:c r="A28" s="5" t="s">
        <x:v>150</x:v>
      </x:c>
      <x:c r="B28" s="39" t="n">
        <x:v>0.25</x:v>
      </x:c>
      <x:c r="C28" s="39" t="n">
        <x:v>0.25</x:v>
      </x:c>
      <x:c r="D28" s="39" t="n">
        <x:v>0.25</x:v>
      </x:c>
      <x:c r="E28" s="39" t="n">
        <x:v>0.25</x:v>
      </x:c>
    </x:row>
    <x:row r="29" ht="15" hidden="0">
      <x:c r="A29" s="5" t="s">
        <x:v>151</x:v>
      </x:c>
      <x:c r="B29" s="39" t="n">
        <x:v>0.4</x:v>
      </x:c>
      <x:c r="C29" s="39" t="n">
        <x:v>0.3</x:v>
      </x:c>
      <x:c r="D29" s="39" t="n">
        <x:v>0.3</x:v>
      </x:c>
      <x:c r="E29" s="39" t="n">
        <x:v>0</x:v>
      </x:c>
    </x:row>
    <x:row r="30" ht="15" hidden="0">
      <x:c r="A30" s="5" t="s">
        <x:v>152</x:v>
      </x:c>
      <x:c r="B30" s="39" t="n">
        <x:v>1</x:v>
      </x:c>
      <x:c r="C30" s="39" t="n">
        <x:v>0</x:v>
      </x:c>
      <x:c r="D30" s="39" t="n">
        <x:v>0</x:v>
      </x:c>
      <x:c r="E30" s="39" t="n">
        <x:v>0</x:v>
      </x:c>
    </x:row>
    <x:row r="31" ht="15" hidden="0">
      <x:c r="A31" s="5" t="s">
        <x:v>153</x:v>
      </x:c>
      <x:c r="B31" s="39" t="n">
        <x:v>0.5</x:v>
      </x:c>
      <x:c r="C31" s="39" t="n">
        <x:v>0.5</x:v>
      </x:c>
      <x:c r="D31" s="39" t="n">
        <x:v>0</x:v>
      </x:c>
      <x:c r="E31" s="39" t="n">
        <x:v>0</x:v>
      </x:c>
    </x:row>
    <x:row r="32" ht="15" hidden="0">
      <x:c r="A32" s="5" t="s">
        <x:v>154</x:v>
      </x:c>
      <x:c r="B32" s="39" t="n">
        <x:v>0.45</x:v>
      </x:c>
      <x:c r="C32" s="39" t="n">
        <x:v>0</x:v>
      </x:c>
      <x:c r="D32" s="39" t="n">
        <x:v>0.35</x:v>
      </x:c>
      <x:c r="E32" s="39" t="n">
        <x:v>0.2</x:v>
      </x:c>
    </x:row>
    <x:row r="34" ht="15" hidden="0">
      <x:c r="A34" s="40" t="s">
        <x:v>160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ColWidth="8.6796875" defaultRowHeight="15"/>
  <x:cols>
    <x:col min="1" max="1" width="26" style="5" hidden="0" customWidth="1"/>
    <x:col min="2" max="12" width="19" style="5" hidden="0" customWidth="1"/>
    <x:col min="13" max="13" width="20" hidden="0" customWidth="1"/>
  </x:cols>
  <x:sheetData>
    <x:row r="1" ht="36" hidden="0" customHeight="1">
      <x:c r="A1" s="6" t="s">
        <x:v>161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24.75" hidden="0" customHeight="1">
      <x:c r="A2" s="7" t="s">
        <x:v>162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33.75" hidden="0" customHeight="1">
      <x:c r="A3" s="8" t="s">
        <x:v>87</x:v>
      </x:c>
      <x:c r="B3" s="8" t="s">
        <x:v>163</x:v>
      </x:c>
      <x:c r="C3" s="8" t="s">
        <x:v>164</x:v>
      </x:c>
      <x:c r="D3" s="8" t="s">
        <x:v>165</x:v>
      </x:c>
      <x:c r="E3" s="8" t="s">
        <x:v>166</x:v>
      </x:c>
      <x:c r="F3" s="8" t="s">
        <x:v>167</x:v>
      </x:c>
      <x:c r="G3" s="8" t="s">
        <x:v>168</x:v>
      </x:c>
      <x:c r="H3" s="8" t="s">
        <x:v>169</x:v>
      </x:c>
      <x:c r="I3" s="8" t="s">
        <x:v>170</x:v>
      </x:c>
      <x:c r="J3" s="8" t="s">
        <x:v>171</x:v>
      </x:c>
      <x:c r="K3" s="8" t="s">
        <x:v>172</x:v>
      </x:c>
      <x:c r="L3" s="8" t="s">
        <x:v>173</x:v>
      </x:c>
      <x:c r="M3" s="85" t="str">
        <x:v>Dati esito coerenti</x:v>
      </x:c>
    </x:row>
    <x:row r="4" ht="15" hidden="0" customHeight="1">
      <x:c r="A4" s="5" t="s">
        <x:v>103</x:v>
      </x:c>
      <x:c r="B4" s="26" t="n">
        <x:v>0.0763284307966926</x:v>
      </x:c>
      <x:c r="C4" s="26" t="n">
        <x:v>0.0775344911849007</x:v>
      </x:c>
      <x:c r="D4" s="29"/>
      <x:c r="E4" s="29"/>
      <x:c r="F4" s="26" t="str">
        <x:f aca="0">IF(OR(NOT(ISNUMBER(D4)),NOT(ISNUMBER(E4)),D4&lt;=0,E4&lt;0,E4&gt;D4),"",E4/D4)</x:f>
      </x:c>
      <x:c r="G4" s="26" t="str">
        <x:f aca="0">IF(F4="","",D4/SUM($D$4:$D$23))</x:f>
      </x:c>
      <x:c r="H4" s="5" t="str">
        <x:f aca="0">IF(F4="","",100*ABS(B4-F4))</x:f>
      </x:c>
      <x:c r="I4" s="5" t="str">
        <x:f aca="0">IF(F4="","",100*ABS(C4-F4))</x:f>
      </x:c>
      <x:c r="J4" s="5" t="str">
        <x:f aca="0">IF(H4="","",G4*H4)</x:f>
      </x:c>
      <x:c r="K4" s="5" t="str">
        <x:f aca="0">IF(I4="","",G4*I4)</x:f>
      </x:c>
      <x:c r="L4" s="5" t="str">
        <x:f aca="0">IF(F4="","",IF(AND(F4&gt;=SENSIBILITA!D4,F4&lt;=SENSIBILITA!E4),1,0))</x:f>
      </x:c>
      <x:c r="M4" t="n">
        <x:f>IF(AND(ISNUMBER(D4),ISNUMBER(E4),D4&gt;0,E4&gt;=0,E4&lt;=D4),1,0)</x:f>
        <x:v>0</x:v>
      </x:c>
    </x:row>
    <x:row r="5" ht="15" hidden="0" customHeight="1">
      <x:c r="A5" s="5" t="s">
        <x:v>106</x:v>
      </x:c>
      <x:c r="B5" s="26" t="n">
        <x:v>0.0617603241581145</x:v>
      </x:c>
      <x:c r="C5" s="26" t="n">
        <x:v>0.0630980439201587</x:v>
      </x:c>
      <x:c r="D5" s="29"/>
      <x:c r="E5" s="29"/>
      <x:c r="F5" s="26" t="str">
        <x:f aca="0">IF(OR(NOT(ISNUMBER(D5)),NOT(ISNUMBER(E5)),D5&lt;=0,E5&lt;0,E5&gt;D5),"",E5/D5)</x:f>
      </x:c>
      <x:c r="G5" s="26" t="str">
        <x:f aca="0">IF(F5="","",D5/SUM($D$4:$D$23))</x:f>
      </x:c>
      <x:c r="H5" s="5" t="str">
        <x:f aca="0">IF(F5="","",100*ABS(B5-F5))</x:f>
      </x:c>
      <x:c r="I5" s="5" t="str">
        <x:f aca="0">IF(F5="","",100*ABS(C5-F5))</x:f>
      </x:c>
      <x:c r="J5" s="5" t="str">
        <x:f aca="0">IF(H5="","",G5*H5)</x:f>
      </x:c>
      <x:c r="K5" s="5" t="str">
        <x:f aca="0">IF(I5="","",G5*I5)</x:f>
      </x:c>
      <x:c r="L5" s="5" t="str">
        <x:f aca="0">IF(F5="","",IF(AND(F5&gt;=SENSIBILITA!D5,F5&lt;=SENSIBILITA!E5),1,0))</x:f>
      </x:c>
      <x:c r="M5" t="n">
        <x:f>IF(AND(ISNUMBER(D5),ISNUMBER(E5),D5&gt;0,E5&gt;=0,E5&lt;=D5),1,0)</x:f>
        <x:v>0</x:v>
      </x:c>
    </x:row>
    <x:row r="6" ht="15" hidden="0" customHeight="1">
      <x:c r="A6" s="5" t="s">
        <x:v>107</x:v>
      </x:c>
      <x:c r="B6" s="26" t="n">
        <x:v>0.0792017473344958</x:v>
      </x:c>
      <x:c r="C6" s="26" t="n">
        <x:v>0.0678556717813257</x:v>
      </x:c>
      <x:c r="D6" s="29"/>
      <x:c r="E6" s="29"/>
      <x:c r="F6" s="26" t="str">
        <x:f aca="0">IF(OR(NOT(ISNUMBER(D6)),NOT(ISNUMBER(E6)),D6&lt;=0,E6&lt;0,E6&gt;D6),"",E6/D6)</x:f>
      </x:c>
      <x:c r="G6" s="26" t="str">
        <x:f aca="0">IF(F6="","",D6/SUM($D$4:$D$23))</x:f>
      </x:c>
      <x:c r="H6" s="5" t="str">
        <x:f aca="0">IF(F6="","",100*ABS(B6-F6))</x:f>
      </x:c>
      <x:c r="I6" s="5" t="str">
        <x:f aca="0">IF(F6="","",100*ABS(C6-F6))</x:f>
      </x:c>
      <x:c r="J6" s="5" t="str">
        <x:f aca="0">IF(H6="","",G6*H6)</x:f>
      </x:c>
      <x:c r="K6" s="5" t="str">
        <x:f aca="0">IF(I6="","",G6*I6)</x:f>
      </x:c>
      <x:c r="L6" s="5" t="str">
        <x:f aca="0">IF(F6="","",IF(AND(F6&gt;=SENSIBILITA!D6,F6&lt;=SENSIBILITA!E6),1,0))</x:f>
      </x:c>
      <x:c r="M6" t="n">
        <x:f>IF(AND(ISNUMBER(D6),ISNUMBER(E6),D6&gt;0,E6&gt;=0,E6&lt;=D6),1,0)</x:f>
        <x:v>0</x:v>
      </x:c>
    </x:row>
    <x:row r="7" ht="15" hidden="0" customHeight="1">
      <x:c r="A7" s="5" t="s">
        <x:v>108</x:v>
      </x:c>
      <x:c r="B7" s="26" t="n">
        <x:v>0.0761355484457192</x:v>
      </x:c>
      <x:c r="C7" s="26" t="n">
        <x:v>0.0854090777695009</x:v>
      </x:c>
      <x:c r="D7" s="29"/>
      <x:c r="E7" s="29"/>
      <x:c r="F7" s="26" t="str">
        <x:f aca="0">IF(OR(NOT(ISNUMBER(D7)),NOT(ISNUMBER(E7)),D7&lt;=0,E7&lt;0,E7&gt;D7),"",E7/D7)</x:f>
      </x:c>
      <x:c r="G7" s="26" t="str">
        <x:f aca="0">IF(F7="","",D7/SUM($D$4:$D$23))</x:f>
      </x:c>
      <x:c r="H7" s="5" t="str">
        <x:f aca="0">IF(F7="","",100*ABS(B7-F7))</x:f>
      </x:c>
      <x:c r="I7" s="5" t="str">
        <x:f aca="0">IF(F7="","",100*ABS(C7-F7))</x:f>
      </x:c>
      <x:c r="J7" s="5" t="str">
        <x:f aca="0">IF(H7="","",G7*H7)</x:f>
      </x:c>
      <x:c r="K7" s="5" t="str">
        <x:f aca="0">IF(I7="","",G7*I7)</x:f>
      </x:c>
      <x:c r="L7" s="5" t="str">
        <x:f aca="0">IF(F7="","",IF(AND(F7&gt;=SENSIBILITA!D7,F7&lt;=SENSIBILITA!E7),1,0))</x:f>
      </x:c>
      <x:c r="M7" t="n">
        <x:f>IF(AND(ISNUMBER(D7),ISNUMBER(E7),D7&gt;0,E7&gt;=0,E7&lt;=D7),1,0)</x:f>
        <x:v>0</x:v>
      </x:c>
    </x:row>
    <x:row r="8" ht="15" hidden="0" customHeight="1">
      <x:c r="A8" s="5" t="s">
        <x:v>110</x:v>
      </x:c>
      <x:c r="B8" s="26" t="n">
        <x:v>0.0649459052370285</x:v>
      </x:c>
      <x:c r="C8" s="26" t="n">
        <x:v>0.0515454307472601</x:v>
      </x:c>
      <x:c r="D8" s="29"/>
      <x:c r="E8" s="29"/>
      <x:c r="F8" s="26" t="str">
        <x:f aca="0">IF(OR(NOT(ISNUMBER(D8)),NOT(ISNUMBER(E8)),D8&lt;=0,E8&lt;0,E8&gt;D8),"",E8/D8)</x:f>
      </x:c>
      <x:c r="G8" s="26" t="str">
        <x:f aca="0">IF(F8="","",D8/SUM($D$4:$D$23))</x:f>
      </x:c>
      <x:c r="H8" s="5" t="str">
        <x:f aca="0">IF(F8="","",100*ABS(B8-F8))</x:f>
      </x:c>
      <x:c r="I8" s="5" t="str">
        <x:f aca="0">IF(F8="","",100*ABS(C8-F8))</x:f>
      </x:c>
      <x:c r="J8" s="5" t="str">
        <x:f aca="0">IF(H8="","",G8*H8)</x:f>
      </x:c>
      <x:c r="K8" s="5" t="str">
        <x:f aca="0">IF(I8="","",G8*I8)</x:f>
      </x:c>
      <x:c r="L8" s="5" t="str">
        <x:f aca="0">IF(F8="","",IF(AND(F8&gt;=SENSIBILITA!D8,F8&lt;=SENSIBILITA!E8),1,0))</x:f>
      </x:c>
      <x:c r="M8" t="n">
        <x:f>IF(AND(ISNUMBER(D8),ISNUMBER(E8),D8&gt;0,E8&gt;=0,E8&lt;=D8),1,0)</x:f>
        <x:v>0</x:v>
      </x:c>
    </x:row>
    <x:row r="9" ht="15" hidden="0" customHeight="1">
      <x:c r="A9" s="5" t="s">
        <x:v>111</x:v>
      </x:c>
      <x:c r="B9" s="26" t="n">
        <x:v>0.0921322754510776</x:v>
      </x:c>
      <x:c r="C9" s="26" t="n">
        <x:v>0.0965555210056822</x:v>
      </x:c>
      <x:c r="D9" s="29"/>
      <x:c r="E9" s="29"/>
      <x:c r="F9" s="26" t="str">
        <x:f aca="0">IF(OR(NOT(ISNUMBER(D9)),NOT(ISNUMBER(E9)),D9&lt;=0,E9&lt;0,E9&gt;D9),"",E9/D9)</x:f>
      </x:c>
      <x:c r="G9" s="26" t="str">
        <x:f aca="0">IF(F9="","",D9/SUM($D$4:$D$23))</x:f>
      </x:c>
      <x:c r="H9" s="5" t="str">
        <x:f aca="0">IF(F9="","",100*ABS(B9-F9))</x:f>
      </x:c>
      <x:c r="I9" s="5" t="str">
        <x:f aca="0">IF(F9="","",100*ABS(C9-F9))</x:f>
      </x:c>
      <x:c r="J9" s="5" t="str">
        <x:f aca="0">IF(H9="","",G9*H9)</x:f>
      </x:c>
      <x:c r="K9" s="5" t="str">
        <x:f aca="0">IF(I9="","",G9*I9)</x:f>
      </x:c>
      <x:c r="L9" s="5" t="str">
        <x:f aca="0">IF(F9="","",IF(AND(F9&gt;=SENSIBILITA!D9,F9&lt;=SENSIBILITA!E9),1,0))</x:f>
      </x:c>
      <x:c r="M9" t="n">
        <x:f>IF(AND(ISNUMBER(D9),ISNUMBER(E9),D9&gt;0,E9&gt;=0,E9&lt;=D9),1,0)</x:f>
        <x:v>0</x:v>
      </x:c>
    </x:row>
    <x:row r="10" ht="15" hidden="0" customHeight="1">
      <x:c r="A10" s="5" t="s">
        <x:v>112</x:v>
      </x:c>
      <x:c r="B10" s="26" t="n">
        <x:v>0.0879097328073216</x:v>
      </x:c>
      <x:c r="C10" s="26" t="n">
        <x:v>0.0931066687219512</x:v>
      </x:c>
      <x:c r="D10" s="29"/>
      <x:c r="E10" s="29"/>
      <x:c r="F10" s="26" t="str">
        <x:f aca="0">IF(OR(NOT(ISNUMBER(D10)),NOT(ISNUMBER(E10)),D10&lt;=0,E10&lt;0,E10&gt;D10),"",E10/D10)</x:f>
      </x:c>
      <x:c r="G10" s="26" t="str">
        <x:f aca="0">IF(F10="","",D10/SUM($D$4:$D$23))</x:f>
      </x:c>
      <x:c r="H10" s="5" t="str">
        <x:f aca="0">IF(F10="","",100*ABS(B10-F10))</x:f>
      </x:c>
      <x:c r="I10" s="5" t="str">
        <x:f aca="0">IF(F10="","",100*ABS(C10-F10))</x:f>
      </x:c>
      <x:c r="J10" s="5" t="str">
        <x:f aca="0">IF(H10="","",G10*H10)</x:f>
      </x:c>
      <x:c r="K10" s="5" t="str">
        <x:f aca="0">IF(I10="","",G10*I10)</x:f>
      </x:c>
      <x:c r="L10" s="5" t="str">
        <x:f aca="0">IF(F10="","",IF(AND(F10&gt;=SENSIBILITA!D10,F10&lt;=SENSIBILITA!E10),1,0))</x:f>
      </x:c>
      <x:c r="M10" t="n">
        <x:f>IF(AND(ISNUMBER(D10),ISNUMBER(E10),D10&gt;0,E10&gt;=0,E10&lt;=D10),1,0)</x:f>
        <x:v>0</x:v>
      </x:c>
    </x:row>
    <x:row r="11" ht="15" hidden="0" customHeight="1">
      <x:c r="A11" s="5" t="s">
        <x:v>113</x:v>
      </x:c>
      <x:c r="B11" s="26" t="n">
        <x:v>0.0563956711990605</x:v>
      </x:c>
      <x:c r="C11" s="26" t="n">
        <x:v>0.0656620607716659</x:v>
      </x:c>
      <x:c r="D11" s="29"/>
      <x:c r="E11" s="29"/>
      <x:c r="F11" s="26" t="str">
        <x:f aca="0">IF(OR(NOT(ISNUMBER(D11)),NOT(ISNUMBER(E11)),D11&lt;=0,E11&lt;0,E11&gt;D11),"",E11/D11)</x:f>
      </x:c>
      <x:c r="G11" s="26" t="str">
        <x:f aca="0">IF(F11="","",D11/SUM($D$4:$D$23))</x:f>
      </x:c>
      <x:c r="H11" s="5" t="str">
        <x:f aca="0">IF(F11="","",100*ABS(B11-F11))</x:f>
      </x:c>
      <x:c r="I11" s="5" t="str">
        <x:f aca="0">IF(F11="","",100*ABS(C11-F11))</x:f>
      </x:c>
      <x:c r="J11" s="5" t="str">
        <x:f aca="0">IF(H11="","",G11*H11)</x:f>
      </x:c>
      <x:c r="K11" s="5" t="str">
        <x:f aca="0">IF(I11="","",G11*I11)</x:f>
      </x:c>
      <x:c r="L11" s="5" t="str">
        <x:f aca="0">IF(F11="","",IF(AND(F11&gt;=SENSIBILITA!D11,F11&lt;=SENSIBILITA!E11),1,0))</x:f>
      </x:c>
      <x:c r="M11" t="n">
        <x:f>IF(AND(ISNUMBER(D11),ISNUMBER(E11),D11&gt;0,E11&gt;=0,E11&lt;=D11),1,0)</x:f>
        <x:v>0</x:v>
      </x:c>
    </x:row>
    <x:row r="12" ht="15" hidden="0" customHeight="1">
      <x:c r="A12" s="5" t="s">
        <x:v>114</x:v>
      </x:c>
      <x:c r="B12" s="26" t="n">
        <x:v>0.0632800498149608</x:v>
      </x:c>
      <x:c r="C12" s="26" t="n">
        <x:v>0.0640347709977253</x:v>
      </x:c>
      <x:c r="D12" s="29"/>
      <x:c r="E12" s="29"/>
      <x:c r="F12" s="26" t="str">
        <x:f aca="0">IF(OR(NOT(ISNUMBER(D12)),NOT(ISNUMBER(E12)),D12&lt;=0,E12&lt;0,E12&gt;D12),"",E12/D12)</x:f>
      </x:c>
      <x:c r="G12" s="26" t="str">
        <x:f aca="0">IF(F12="","",D12/SUM($D$4:$D$23))</x:f>
      </x:c>
      <x:c r="H12" s="5" t="str">
        <x:f aca="0">IF(F12="","",100*ABS(B12-F12))</x:f>
      </x:c>
      <x:c r="I12" s="5" t="str">
        <x:f aca="0">IF(F12="","",100*ABS(C12-F12))</x:f>
      </x:c>
      <x:c r="J12" s="5" t="str">
        <x:f aca="0">IF(H12="","",G12*H12)</x:f>
      </x:c>
      <x:c r="K12" s="5" t="str">
        <x:f aca="0">IF(I12="","",G12*I12)</x:f>
      </x:c>
      <x:c r="L12" s="5" t="str">
        <x:f aca="0">IF(F12="","",IF(AND(F12&gt;=SENSIBILITA!D12,F12&lt;=SENSIBILITA!E12),1,0))</x:f>
      </x:c>
      <x:c r="M12" t="n">
        <x:f>IF(AND(ISNUMBER(D12),ISNUMBER(E12),D12&gt;0,E12&gt;=0,E12&lt;=D12),1,0)</x:f>
        <x:v>0</x:v>
      </x:c>
    </x:row>
    <x:row r="13" ht="15" hidden="0" customHeight="1">
      <x:c r="A13" s="5" t="s">
        <x:v>115</x:v>
      </x:c>
      <x:c r="B13" s="26" t="n">
        <x:v>0.0544891269395985</x:v>
      </x:c>
      <x:c r="C13" s="26" t="n">
        <x:v>0.0750827939394737</x:v>
      </x:c>
      <x:c r="D13" s="29"/>
      <x:c r="E13" s="29"/>
      <x:c r="F13" s="26" t="str">
        <x:f aca="0">IF(OR(NOT(ISNUMBER(D13)),NOT(ISNUMBER(E13)),D13&lt;=0,E13&lt;0,E13&gt;D13),"",E13/D13)</x:f>
      </x:c>
      <x:c r="G13" s="26" t="str">
        <x:f aca="0">IF(F13="","",D13/SUM($D$4:$D$23))</x:f>
      </x:c>
      <x:c r="H13" s="5" t="str">
        <x:f aca="0">IF(F13="","",100*ABS(B13-F13))</x:f>
      </x:c>
      <x:c r="I13" s="5" t="str">
        <x:f aca="0">IF(F13="","",100*ABS(C13-F13))</x:f>
      </x:c>
      <x:c r="J13" s="5" t="str">
        <x:f aca="0">IF(H13="","",G13*H13)</x:f>
      </x:c>
      <x:c r="K13" s="5" t="str">
        <x:f aca="0">IF(I13="","",G13*I13)</x:f>
      </x:c>
      <x:c r="L13" s="5" t="str">
        <x:f aca="0">IF(F13="","",IF(AND(F13&gt;=SENSIBILITA!D13,F13&lt;=SENSIBILITA!E13),1,0))</x:f>
      </x:c>
      <x:c r="M13" t="n">
        <x:f>IF(AND(ISNUMBER(D13),ISNUMBER(E13),D13&gt;0,E13&gt;=0,E13&lt;=D13),1,0)</x:f>
        <x:v>0</x:v>
      </x:c>
    </x:row>
    <x:row r="14" ht="15" hidden="0" customHeight="1">
      <x:c r="A14" s="5" t="s">
        <x:v>116</x:v>
      </x:c>
      <x:c r="B14" s="26" t="n">
        <x:v>0.0696705640535738</x:v>
      </x:c>
      <x:c r="C14" s="26" t="n">
        <x:v>0.0781990922939307</x:v>
      </x:c>
      <x:c r="D14" s="29"/>
      <x:c r="E14" s="29"/>
      <x:c r="F14" s="26" t="str">
        <x:f aca="0">IF(OR(NOT(ISNUMBER(D14)),NOT(ISNUMBER(E14)),D14&lt;=0,E14&lt;0,E14&gt;D14),"",E14/D14)</x:f>
      </x:c>
      <x:c r="G14" s="26" t="str">
        <x:f aca="0">IF(F14="","",D14/SUM($D$4:$D$23))</x:f>
      </x:c>
      <x:c r="H14" s="5" t="str">
        <x:f aca="0">IF(F14="","",100*ABS(B14-F14))</x:f>
      </x:c>
      <x:c r="I14" s="5" t="str">
        <x:f aca="0">IF(F14="","",100*ABS(C14-F14))</x:f>
      </x:c>
      <x:c r="J14" s="5" t="str">
        <x:f aca="0">IF(H14="","",G14*H14)</x:f>
      </x:c>
      <x:c r="K14" s="5" t="str">
        <x:f aca="0">IF(I14="","",G14*I14)</x:f>
      </x:c>
      <x:c r="L14" s="5" t="str">
        <x:f aca="0">IF(F14="","",IF(AND(F14&gt;=SENSIBILITA!D14,F14&lt;=SENSIBILITA!E14),1,0))</x:f>
      </x:c>
      <x:c r="M14" t="n">
        <x:f>IF(AND(ISNUMBER(D14),ISNUMBER(E14),D14&gt;0,E14&gt;=0,E14&lt;=D14),1,0)</x:f>
        <x:v>0</x:v>
      </x:c>
    </x:row>
    <x:row r="15" ht="15" hidden="0" customHeight="1">
      <x:c r="A15" s="5" t="s">
        <x:v>117</x:v>
      </x:c>
      <x:c r="B15" s="26" t="n">
        <x:v>0.0656042822875648</x:v>
      </x:c>
      <x:c r="C15" s="26" t="n">
        <x:v>0.0756502479948342</x:v>
      </x:c>
      <x:c r="D15" s="29"/>
      <x:c r="E15" s="29"/>
      <x:c r="F15" s="26" t="str">
        <x:f aca="0">IF(OR(NOT(ISNUMBER(D15)),NOT(ISNUMBER(E15)),D15&lt;=0,E15&lt;0,E15&gt;D15),"",E15/D15)</x:f>
      </x:c>
      <x:c r="G15" s="26" t="str">
        <x:f aca="0">IF(F15="","",D15/SUM($D$4:$D$23))</x:f>
      </x:c>
      <x:c r="H15" s="5" t="str">
        <x:f aca="0">IF(F15="","",100*ABS(B15-F15))</x:f>
      </x:c>
      <x:c r="I15" s="5" t="str">
        <x:f aca="0">IF(F15="","",100*ABS(C15-F15))</x:f>
      </x:c>
      <x:c r="J15" s="5" t="str">
        <x:f aca="0">IF(H15="","",G15*H15)</x:f>
      </x:c>
      <x:c r="K15" s="5" t="str">
        <x:f aca="0">IF(I15="","",G15*I15)</x:f>
      </x:c>
      <x:c r="L15" s="5" t="str">
        <x:f aca="0">IF(F15="","",IF(AND(F15&gt;=SENSIBILITA!D15,F15&lt;=SENSIBILITA!E15),1,0))</x:f>
      </x:c>
      <x:c r="M15" t="n">
        <x:f>IF(AND(ISNUMBER(D15),ISNUMBER(E15),D15&gt;0,E15&gt;=0,E15&lt;=D15),1,0)</x:f>
        <x:v>0</x:v>
      </x:c>
    </x:row>
    <x:row r="16" ht="15" hidden="0" customHeight="1">
      <x:c r="A16" s="5" t="s">
        <x:v>118</x:v>
      </x:c>
      <x:c r="B16" s="26" t="n">
        <x:v>0.0659596121180976</x:v>
      </x:c>
      <x:c r="C16" s="26" t="n">
        <x:v>0.0785475976017988</x:v>
      </x:c>
      <x:c r="D16" s="29"/>
      <x:c r="E16" s="29"/>
      <x:c r="F16" s="26" t="str">
        <x:f aca="0">IF(OR(NOT(ISNUMBER(D16)),NOT(ISNUMBER(E16)),D16&lt;=0,E16&lt;0,E16&gt;D16),"",E16/D16)</x:f>
      </x:c>
      <x:c r="G16" s="26" t="str">
        <x:f aca="0">IF(F16="","",D16/SUM($D$4:$D$23))</x:f>
      </x:c>
      <x:c r="H16" s="5" t="str">
        <x:f aca="0">IF(F16="","",100*ABS(B16-F16))</x:f>
      </x:c>
      <x:c r="I16" s="5" t="str">
        <x:f aca="0">IF(F16="","",100*ABS(C16-F16))</x:f>
      </x:c>
      <x:c r="J16" s="5" t="str">
        <x:f aca="0">IF(H16="","",G16*H16)</x:f>
      </x:c>
      <x:c r="K16" s="5" t="str">
        <x:f aca="0">IF(I16="","",G16*I16)</x:f>
      </x:c>
      <x:c r="L16" s="5" t="str">
        <x:f aca="0">IF(F16="","",IF(AND(F16&gt;=SENSIBILITA!D16,F16&lt;=SENSIBILITA!E16),1,0))</x:f>
      </x:c>
      <x:c r="M16" t="n">
        <x:f>IF(AND(ISNUMBER(D16),ISNUMBER(E16),D16&gt;0,E16&gt;=0,E16&lt;=D16),1,0)</x:f>
        <x:v>0</x:v>
      </x:c>
    </x:row>
    <x:row r="17" ht="15" hidden="0" customHeight="1">
      <x:c r="A17" s="5" t="s">
        <x:v>119</x:v>
      </x:c>
      <x:c r="B17" s="26" t="n">
        <x:v>0.0870093705812696</x:v>
      </x:c>
      <x:c r="C17" s="26" t="n">
        <x:v>0.083590000619309</x:v>
      </x:c>
      <x:c r="D17" s="29"/>
      <x:c r="E17" s="29"/>
      <x:c r="F17" s="26" t="str">
        <x:f aca="0">IF(OR(NOT(ISNUMBER(D17)),NOT(ISNUMBER(E17)),D17&lt;=0,E17&lt;0,E17&gt;D17),"",E17/D17)</x:f>
      </x:c>
      <x:c r="G17" s="26" t="str">
        <x:f aca="0">IF(F17="","",D17/SUM($D$4:$D$23))</x:f>
      </x:c>
      <x:c r="H17" s="5" t="str">
        <x:f aca="0">IF(F17="","",100*ABS(B17-F17))</x:f>
      </x:c>
      <x:c r="I17" s="5" t="str">
        <x:f aca="0">IF(F17="","",100*ABS(C17-F17))</x:f>
      </x:c>
      <x:c r="J17" s="5" t="str">
        <x:f aca="0">IF(H17="","",G17*H17)</x:f>
      </x:c>
      <x:c r="K17" s="5" t="str">
        <x:f aca="0">IF(I17="","",G17*I17)</x:f>
      </x:c>
      <x:c r="L17" s="5" t="str">
        <x:f aca="0">IF(F17="","",IF(AND(F17&gt;=SENSIBILITA!D17,F17&lt;=SENSIBILITA!E17),1,0))</x:f>
      </x:c>
      <x:c r="M17" t="n">
        <x:f>IF(AND(ISNUMBER(D17),ISNUMBER(E17),D17&gt;0,E17&gt;=0,E17&lt;=D17),1,0)</x:f>
        <x:v>0</x:v>
      </x:c>
    </x:row>
    <x:row r="18" ht="15" hidden="0" customHeight="1">
      <x:c r="A18" s="5" t="s">
        <x:v>120</x:v>
      </x:c>
      <x:c r="B18" s="26" t="n">
        <x:v>0.0578202235465216</x:v>
      </x:c>
      <x:c r="C18" s="26" t="n">
        <x:v>0.0479261466181001</x:v>
      </x:c>
      <x:c r="D18" s="29"/>
      <x:c r="E18" s="29"/>
      <x:c r="F18" s="26" t="str">
        <x:f aca="0">IF(OR(NOT(ISNUMBER(D18)),NOT(ISNUMBER(E18)),D18&lt;=0,E18&lt;0,E18&gt;D18),"",E18/D18)</x:f>
      </x:c>
      <x:c r="G18" s="26" t="str">
        <x:f aca="0">IF(F18="","",D18/SUM($D$4:$D$23))</x:f>
      </x:c>
      <x:c r="H18" s="5" t="str">
        <x:f aca="0">IF(F18="","",100*ABS(B18-F18))</x:f>
      </x:c>
      <x:c r="I18" s="5" t="str">
        <x:f aca="0">IF(F18="","",100*ABS(C18-F18))</x:f>
      </x:c>
      <x:c r="J18" s="5" t="str">
        <x:f aca="0">IF(H18="","",G18*H18)</x:f>
      </x:c>
      <x:c r="K18" s="5" t="str">
        <x:f aca="0">IF(I18="","",G18*I18)</x:f>
      </x:c>
      <x:c r="L18" s="5" t="str">
        <x:f aca="0">IF(F18="","",IF(AND(F18&gt;=SENSIBILITA!D18,F18&lt;=SENSIBILITA!E18),1,0))</x:f>
      </x:c>
      <x:c r="M18" t="n">
        <x:f>IF(AND(ISNUMBER(D18),ISNUMBER(E18),D18&gt;0,E18&gt;=0,E18&lt;=D18),1,0)</x:f>
        <x:v>0</x:v>
      </x:c>
    </x:row>
    <x:row r="19" ht="15" hidden="0" customHeight="1">
      <x:c r="A19" s="5" t="s">
        <x:v>121</x:v>
      </x:c>
      <x:c r="B19" s="26" t="n">
        <x:v>0.0727443108068456</x:v>
      </x:c>
      <x:c r="C19" s="26" t="n">
        <x:v>0.0630628235670212</x:v>
      </x:c>
      <x:c r="D19" s="29"/>
      <x:c r="E19" s="29"/>
      <x:c r="F19" s="26" t="str">
        <x:f aca="0">IF(OR(NOT(ISNUMBER(D19)),NOT(ISNUMBER(E19)),D19&lt;=0,E19&lt;0,E19&gt;D19),"",E19/D19)</x:f>
      </x:c>
      <x:c r="G19" s="26" t="str">
        <x:f aca="0">IF(F19="","",D19/SUM($D$4:$D$23))</x:f>
      </x:c>
      <x:c r="H19" s="5" t="str">
        <x:f aca="0">IF(F19="","",100*ABS(B19-F19))</x:f>
      </x:c>
      <x:c r="I19" s="5" t="str">
        <x:f aca="0">IF(F19="","",100*ABS(C19-F19))</x:f>
      </x:c>
      <x:c r="J19" s="5" t="str">
        <x:f aca="0">IF(H19="","",G19*H19)</x:f>
      </x:c>
      <x:c r="K19" s="5" t="str">
        <x:f aca="0">IF(I19="","",G19*I19)</x:f>
      </x:c>
      <x:c r="L19" s="5" t="str">
        <x:f aca="0">IF(F19="","",IF(AND(F19&gt;=SENSIBILITA!D19,F19&lt;=SENSIBILITA!E19),1,0))</x:f>
      </x:c>
      <x:c r="M19" t="n">
        <x:f>IF(AND(ISNUMBER(D19),ISNUMBER(E19),D19&gt;0,E19&gt;=0,E19&lt;=D19),1,0)</x:f>
        <x:v>0</x:v>
      </x:c>
    </x:row>
    <x:row r="20" ht="15" hidden="0" customHeight="1">
      <x:c r="A20" s="5" t="s">
        <x:v>122</x:v>
      </x:c>
      <x:c r="B20" s="26" t="n">
        <x:v>0.0737028074608987</x:v>
      </x:c>
      <x:c r="C20" s="26" t="n">
        <x:v>0.0588598274972417</x:v>
      </x:c>
      <x:c r="D20" s="29"/>
      <x:c r="E20" s="29"/>
      <x:c r="F20" s="26" t="str">
        <x:f aca="0">IF(OR(NOT(ISNUMBER(D20)),NOT(ISNUMBER(E20)),D20&lt;=0,E20&lt;0,E20&gt;D20),"",E20/D20)</x:f>
      </x:c>
      <x:c r="G20" s="26" t="str">
        <x:f aca="0">IF(F20="","",D20/SUM($D$4:$D$23))</x:f>
      </x:c>
      <x:c r="H20" s="5" t="str">
        <x:f aca="0">IF(F20="","",100*ABS(B20-F20))</x:f>
      </x:c>
      <x:c r="I20" s="5" t="str">
        <x:f aca="0">IF(F20="","",100*ABS(C20-F20))</x:f>
      </x:c>
      <x:c r="J20" s="5" t="str">
        <x:f aca="0">IF(H20="","",G20*H20)</x:f>
      </x:c>
      <x:c r="K20" s="5" t="str">
        <x:f aca="0">IF(I20="","",G20*I20)</x:f>
      </x:c>
      <x:c r="L20" s="5" t="str">
        <x:f aca="0">IF(F20="","",IF(AND(F20&gt;=SENSIBILITA!D20,F20&lt;=SENSIBILITA!E20),1,0))</x:f>
      </x:c>
      <x:c r="M20" t="n">
        <x:f>IF(AND(ISNUMBER(D20),ISNUMBER(E20),D20&gt;0,E20&gt;=0,E20&lt;=D20),1,0)</x:f>
        <x:v>0</x:v>
      </x:c>
    </x:row>
    <x:row r="21" ht="15" hidden="0" customHeight="1">
      <x:c r="A21" s="5" t="s">
        <x:v>123</x:v>
      </x:c>
      <x:c r="B21" s="26" t="n">
        <x:v>0.103841307253181</x:v>
      </x:c>
      <x:c r="C21" s="26" t="n">
        <x:v>0.056634359109792</x:v>
      </x:c>
      <x:c r="D21" s="29"/>
      <x:c r="E21" s="29"/>
      <x:c r="F21" s="26" t="str">
        <x:f aca="0">IF(OR(NOT(ISNUMBER(D21)),NOT(ISNUMBER(E21)),D21&lt;=0,E21&lt;0,E21&gt;D21),"",E21/D21)</x:f>
      </x:c>
      <x:c r="G21" s="26" t="str">
        <x:f aca="0">IF(F21="","",D21/SUM($D$4:$D$23))</x:f>
      </x:c>
      <x:c r="H21" s="5" t="str">
        <x:f aca="0">IF(F21="","",100*ABS(B21-F21))</x:f>
      </x:c>
      <x:c r="I21" s="5" t="str">
        <x:f aca="0">IF(F21="","",100*ABS(C21-F21))</x:f>
      </x:c>
      <x:c r="J21" s="5" t="str">
        <x:f aca="0">IF(H21="","",G21*H21)</x:f>
      </x:c>
      <x:c r="K21" s="5" t="str">
        <x:f aca="0">IF(I21="","",G21*I21)</x:f>
      </x:c>
      <x:c r="L21" s="5" t="str">
        <x:f aca="0">IF(F21="","",IF(AND(F21&gt;=SENSIBILITA!D21,F21&lt;=SENSIBILITA!E21),1,0))</x:f>
      </x:c>
      <x:c r="M21" t="n">
        <x:f>IF(AND(ISNUMBER(D21),ISNUMBER(E21),D21&gt;0,E21&gt;=0,E21&lt;=D21),1,0)</x:f>
        <x:v>0</x:v>
      </x:c>
    </x:row>
    <x:row r="22" ht="15" hidden="0" customHeight="1">
      <x:c r="A22" s="5" t="s">
        <x:v>124</x:v>
      </x:c>
      <x:c r="B22" s="26" t="n">
        <x:v>0.067101908634175</x:v>
      </x:c>
      <x:c r="C22" s="26" t="n">
        <x:v>0.0526375983535298</x:v>
      </x:c>
      <x:c r="D22" s="29"/>
      <x:c r="E22" s="29"/>
      <x:c r="F22" s="26" t="str">
        <x:f aca="0">IF(OR(NOT(ISNUMBER(D22)),NOT(ISNUMBER(E22)),D22&lt;=0,E22&lt;0,E22&gt;D22),"",E22/D22)</x:f>
      </x:c>
      <x:c r="G22" s="26" t="str">
        <x:f aca="0">IF(F22="","",D22/SUM($D$4:$D$23))</x:f>
      </x:c>
      <x:c r="H22" s="5" t="str">
        <x:f aca="0">IF(F22="","",100*ABS(B22-F22))</x:f>
      </x:c>
      <x:c r="I22" s="5" t="str">
        <x:f aca="0">IF(F22="","",100*ABS(C22-F22))</x:f>
      </x:c>
      <x:c r="J22" s="5" t="str">
        <x:f aca="0">IF(H22="","",G22*H22)</x:f>
      </x:c>
      <x:c r="K22" s="5" t="str">
        <x:f aca="0">IF(I22="","",G22*I22)</x:f>
      </x:c>
      <x:c r="L22" s="5" t="str">
        <x:f aca="0">IF(F22="","",IF(AND(F22&gt;=SENSIBILITA!D22,F22&lt;=SENSIBILITA!E22),1,0))</x:f>
      </x:c>
      <x:c r="M22" t="n">
        <x:f>IF(AND(ISNUMBER(D22),ISNUMBER(E22),D22&gt;0,E22&gt;=0,E22&lt;=D22),1,0)</x:f>
        <x:v>0</x:v>
      </x:c>
    </x:row>
    <x:row r="23" ht="15" hidden="0" customHeight="1">
      <x:c r="A23" s="5" t="s">
        <x:v>125</x:v>
      </x:c>
      <x:c r="B23" s="26" t="n">
        <x:v>0.0843566024425661</x:v>
      </x:c>
      <x:c r="C23" s="26" t="n">
        <x:v>0.0577064629742259</x:v>
      </x:c>
      <x:c r="D23" s="29"/>
      <x:c r="E23" s="29"/>
      <x:c r="F23" s="26" t="str">
        <x:f aca="0">IF(OR(NOT(ISNUMBER(D23)),NOT(ISNUMBER(E23)),D23&lt;=0,E23&lt;0,E23&gt;D23),"",E23/D23)</x:f>
      </x:c>
      <x:c r="G23" s="26" t="str">
        <x:f aca="0">IF(F23="","",D23/SUM($D$4:$D$23))</x:f>
      </x:c>
      <x:c r="H23" s="5" t="str">
        <x:f aca="0">IF(F23="","",100*ABS(B23-F23))</x:f>
      </x:c>
      <x:c r="I23" s="5" t="str">
        <x:f aca="0">IF(F23="","",100*ABS(C23-F23))</x:f>
      </x:c>
      <x:c r="J23" s="5" t="str">
        <x:f aca="0">IF(H23="","",G23*H23)</x:f>
      </x:c>
      <x:c r="K23" s="5" t="str">
        <x:f aca="0">IF(I23="","",G23*I23)</x:f>
      </x:c>
      <x:c r="L23" s="5" t="str">
        <x:f aca="0">IF(F23="","",IF(AND(F23&gt;=SENSIBILITA!D23,F23&lt;=SENSIBILITA!E23),1,0))</x:f>
      </x:c>
      <x:c r="M23" t="n">
        <x:f>IF(AND(ISNUMBER(D23),ISNUMBER(E23),D23&gt;0,E23&gt;=0,E23&lt;=D23),1,0)</x:f>
        <x:v>0</x:v>
      </x:c>
    </x:row>
    <x:row r="26" ht="15" hidden="0" customHeight="1">
      <x:c r="A26" s="41" t="s">
        <x:v>174</x:v>
      </x:c>
      <x:c r="B26" s="41" t="s">
        <x:v>175</x:v>
      </x:c>
    </x:row>
    <x:row r="27" ht="15" hidden="0" customHeight="1">
      <x:c r="A27" s="5" t="str">
        <x:v>Regioni con dati coerenti (validi + FN)</x:v>
      </x:c>
      <x:c r="B27" s="5" t="n">
        <x:f aca="0">SUM(M4:M23)</x:f>
        <x:v>0</x:v>
      </x:c>
    </x:row>
    <x:row r="28" ht="15" hidden="0" customHeight="1">
      <x:c r="A28" s="5" t="s">
        <x:v>176</x:v>
      </x:c>
      <x:c r="B28" s="5" t="str">
        <x:f aca="0">IF(B27=20,SUM(J4:J23),"IN ATTESA")</x:f>
        <x:v>IN ATTESA</x:v>
      </x:c>
    </x:row>
    <x:row r="29" ht="15" hidden="0" customHeight="1">
      <x:c r="A29" s="5" t="s">
        <x:v>177</x:v>
      </x:c>
      <x:c r="B29" s="5" t="str">
        <x:f aca="0">IF(B27=20,SUM(K4:K23),"IN ATTESA")</x:f>
        <x:v>IN ATTESA</x:v>
      </x:c>
    </x:row>
    <x:row r="30" ht="15" hidden="0" customHeight="1">
      <x:c r="A30" s="5" t="s">
        <x:v>178</x:v>
      </x:c>
      <x:c r="B30" s="26" t="str">
        <x:f aca="0">IF(AND(B27=20,B29&gt;0),1-B28/B29,"IN ATTESA")</x:f>
        <x:v>IN ATTESA</x:v>
      </x:c>
    </x:row>
    <x:row r="31" ht="15" hidden="0" customHeight="1">
      <x:c r="A31" s="5" t="s">
        <x:v>179</x:v>
      </x:c>
      <x:c r="B31" s="26" t="str">
        <x:f aca="0">IF(B27=20,AVERAGE(L4:L23),"IN ATTESA")</x:f>
        <x:v>IN ATTESA</x:v>
      </x:c>
    </x:row>
    <x:row r="33" ht="15" hidden="0">
      <x:c r="A33" s="40" t="s">
        <x:v>180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ColWidth="8.6796875" defaultRowHeight="15"/>
  <x:cols>
    <x:col min="1" max="1" width="26" style="5" hidden="0" customWidth="1"/>
    <x:col min="2" max="14" width="15" style="5" hidden="0" customWidth="1"/>
  </x:cols>
  <x:sheetData>
    <x:row r="1" ht="36" hidden="0" customHeight="1">
      <x:c r="A1" s="6" t="s">
        <x:v>181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4.75" hidden="0" customHeight="1">
      <x:c r="A2" s="7" t="s">
        <x:v>182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3.75" hidden="0" customHeight="1">
      <x:c r="A3" s="8" t="s">
        <x:v>87</x:v>
      </x:c>
      <x:c r="B3" s="8" t="s">
        <x:v>183</x:v>
      </x:c>
      <x:c r="C3" s="8" t="s">
        <x:v>184</x:v>
      </x:c>
      <x:c r="D3" s="8" t="s">
        <x:v>185</x:v>
      </x:c>
      <x:c r="E3" s="8" t="s">
        <x:v>186</x:v>
      </x:c>
      <x:c r="F3" s="8" t="s">
        <x:v>187</x:v>
      </x:c>
      <x:c r="G3" s="8" t="s">
        <x:v>188</x:v>
      </x:c>
      <x:c r="H3" s="8" t="s">
        <x:v>189</x:v>
      </x:c>
      <x:c r="I3" s="8" t="s">
        <x:v>190</x:v>
      </x:c>
      <x:c r="J3" s="8" t="s">
        <x:v>191</x:v>
      </x:c>
      <x:c r="K3" s="8" t="s">
        <x:v>192</x:v>
      </x:c>
      <x:c r="L3" s="8" t="s">
        <x:v>193</x:v>
      </x:c>
      <x:c r="M3" s="8" t="s">
        <x:v>194</x:v>
      </x:c>
      <x:c r="N3" s="8" t="s">
        <x:v>195</x:v>
      </x:c>
    </x:row>
    <x:row r="4" ht="15" hidden="0" customHeight="1">
      <x:c r="A4" s="5" t="s">
        <x:v>103</x:v>
      </x:c>
      <x:c r="B4" s="5" t="n">
        <x:v>11507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</x:row>
    <x:row r="5" ht="15" hidden="0" customHeight="1">
      <x:c r="A5" s="5" t="s">
        <x:v>106</x:v>
      </x:c>
      <x:c r="B5" s="5" t="n">
        <x:v>215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</x:row>
    <x:row r="6" ht="15" hidden="0" customHeight="1">
      <x:c r="A6" s="5" t="s">
        <x:v>107</x:v>
      </x:c>
      <x:c r="B6" s="5" t="n">
        <x:v>4955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</x:row>
    <x:row r="7" ht="15" hidden="0" customHeight="1">
      <x:c r="A7" s="5" t="s">
        <x:v>108</x:v>
      </x:c>
      <x:c r="B7" s="5" t="n">
        <x:v>23693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</x:row>
    <x:row r="8" ht="15" hidden="0" customHeight="1">
      <x:c r="A8" s="5" t="s">
        <x:v>110</x:v>
      </x:c>
      <x:c r="B8" s="5" t="n">
        <x:v>1877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</x:row>
    <x:row r="9" ht="15" hidden="0" customHeight="1">
      <x:c r="A9" s="5" t="s">
        <x:v>111</x:v>
      </x:c>
      <x:c r="B9" s="5" t="n">
        <x:v>15946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</x:row>
    <x:row r="10" ht="15" hidden="0" customHeight="1">
      <x:c r="A10" s="5" t="s">
        <x:v>112</x:v>
      </x:c>
      <x:c r="B10" s="5" t="n">
        <x:v>3762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</x:row>
    <x:row r="11" ht="15" hidden="0" customHeight="1">
      <x:c r="A11" s="5" t="s">
        <x:v>113</x:v>
      </x:c>
      <x:c r="B11" s="5" t="n">
        <x:v>9405</x:v>
      </x:c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</x:row>
    <x:row r="12" ht="15" hidden="0" customHeight="1">
      <x:c r="A12" s="5" t="s">
        <x:v>114</x:v>
      </x:c>
      <x:c r="B12" s="5" t="n">
        <x:v>7552</x:v>
      </x:c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</x:row>
    <x:row r="13" ht="15" hidden="0" customHeight="1">
      <x:c r="A13" s="5" t="s">
        <x:v>115</x:v>
      </x:c>
      <x:c r="B13" s="5" t="n">
        <x:v>2109</x:v>
      </x:c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</x:row>
    <x:row r="14" ht="15" hidden="0" customHeight="1">
      <x:c r="A14" s="5" t="s">
        <x:v>116</x:v>
      </x:c>
      <x:c r="B14" s="5" t="n">
        <x:v>4261</x:v>
      </x:c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</x:row>
    <x:row r="15" ht="15" hidden="0" customHeight="1">
      <x:c r="A15" s="5" t="s">
        <x:v>117</x:v>
      </x:c>
      <x:c r="B15" s="5" t="n">
        <x:v>15889</x:v>
      </x:c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</x:row>
    <x:row r="16" ht="15" hidden="0" customHeight="1">
      <x:c r="A16" s="5" t="s">
        <x:v>118</x:v>
      </x:c>
      <x:c r="B16" s="5" t="n">
        <x:v>4325</x:v>
      </x:c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</x:row>
    <x:row r="17" ht="15" hidden="0" customHeight="1">
      <x:c r="A17" s="5" t="s">
        <x:v>119</x:v>
      </x:c>
      <x:c r="B17" s="5" t="n">
        <x:v>1132</x:v>
      </x:c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</x:row>
    <x:row r="18" ht="15" hidden="0" customHeight="1">
      <x:c r="A18" s="5" t="s">
        <x:v>120</x:v>
      </x:c>
      <x:c r="B18" s="5" t="n">
        <x:v>12731</x:v>
      </x:c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</x:row>
    <x:row r="19" ht="15" hidden="0" customHeight="1">
      <x:c r="A19" s="5" t="s">
        <x:v>121</x:v>
      </x:c>
      <x:c r="B19" s="5" t="n">
        <x:v>13552</x:v>
      </x:c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</x:row>
    <x:row r="20" ht="15" hidden="0" customHeight="1">
      <x:c r="A20" s="5" t="s">
        <x:v>122</x:v>
      </x:c>
      <x:c r="B20" s="5" t="n">
        <x:v>1297</x:v>
      </x:c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</x:row>
    <x:row r="21" ht="15" hidden="0" customHeight="1">
      <x:c r="A21" s="5" t="s">
        <x:v>123</x:v>
      </x:c>
      <x:c r="B21" s="5" t="n">
        <x:v>6169</x:v>
      </x:c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</x:row>
    <x:row r="22" ht="15" hidden="0" customHeight="1">
      <x:c r="A22" s="5" t="s">
        <x:v>124</x:v>
      </x:c>
      <x:c r="B22" s="5" t="n">
        <x:v>10983</x:v>
      </x:c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</x:row>
    <x:row r="23" ht="15" hidden="0" customHeight="1">
      <x:c r="A23" s="5" t="s">
        <x:v>125</x:v>
      </x:c>
      <x:c r="B23" s="5" t="n">
        <x:v>5096</x:v>
      </x:c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ColWidth="8.6796875" defaultRowHeight="15"/>
  <x:cols>
    <x:col min="1" max="1" width="26" style="5" hidden="0" customWidth="1"/>
    <x:col min="2" max="14" width="15" style="5" hidden="0" customWidth="1"/>
  </x:cols>
  <x:sheetData>
    <x:row r="1" ht="36" hidden="0" customHeight="1">
      <x:c r="A1" s="6" t="s">
        <x:v>196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4.75" hidden="0" customHeight="1">
      <x:c r="A2" s="7" t="s">
        <x:v>197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3.75" hidden="0" customHeight="1">
      <x:c r="A3" s="8" t="s">
        <x:v>87</x:v>
      </x:c>
      <x:c r="B3" s="8" t="s">
        <x:v>183</x:v>
      </x:c>
      <x:c r="C3" s="8" t="s">
        <x:v>184</x:v>
      </x:c>
      <x:c r="D3" s="8" t="s">
        <x:v>185</x:v>
      </x:c>
      <x:c r="E3" s="8" t="s">
        <x:v>186</x:v>
      </x:c>
      <x:c r="F3" s="8" t="s">
        <x:v>187</x:v>
      </x:c>
      <x:c r="G3" s="8" t="s">
        <x:v>188</x:v>
      </x:c>
      <x:c r="H3" s="8" t="s">
        <x:v>189</x:v>
      </x:c>
      <x:c r="I3" s="8" t="s">
        <x:v>190</x:v>
      </x:c>
      <x:c r="J3" s="8" t="s">
        <x:v>191</x:v>
      </x:c>
      <x:c r="K3" s="8" t="s">
        <x:v>192</x:v>
      </x:c>
      <x:c r="L3" s="8" t="s">
        <x:v>193</x:v>
      </x:c>
      <x:c r="M3" s="8" t="s">
        <x:v>194</x:v>
      </x:c>
      <x:c r="N3" s="8" t="s">
        <x:v>195</x:v>
      </x:c>
    </x:row>
    <x:row r="4" ht="15" hidden="0" customHeight="1">
      <x:c r="A4" s="5" t="s">
        <x:v>103</x:v>
      </x:c>
      <x:c r="B4" s="31" t="n">
        <x:f aca="0">IF(COUNT(ISCRITTI_STORICO!B$4:B$23)=20,ISCRITTI_STORICO!B4/SUM(ISCRITTI_STORICO!B$4:B$23),"")</x:f>
        <x:v>0.07354783453494912</x:v>
      </x:c>
      <x:c r="C4" s="31" t="str">
        <x:f aca="0">IF(COUNT(ISCRITTI_STORICO!C$4:C$23)=20,ISCRITTI_STORICO!C4/SUM(ISCRITTI_STORICO!C$4:C$23),"")</x:f>
      </x:c>
      <x:c r="D4" s="31" t="str">
        <x:f aca="0">IF(COUNT(ISCRITTI_STORICO!D$4:D$23)=20,ISCRITTI_STORICO!D4/SUM(ISCRITTI_STORICO!D$4:D$23),"")</x:f>
      </x:c>
      <x:c r="E4" s="31" t="str">
        <x:f aca="0">IF(COUNT(ISCRITTI_STORICO!E$4:E$23)=20,ISCRITTI_STORICO!E4/SUM(ISCRITTI_STORICO!E$4:E$23),"")</x:f>
      </x:c>
      <x:c r="F4" s="31" t="str">
        <x:f aca="0">IF(COUNT(ISCRITTI_STORICO!F$4:F$23)=20,ISCRITTI_STORICO!F4/SUM(ISCRITTI_STORICO!F$4:F$23),"")</x:f>
      </x:c>
      <x:c r="G4" s="31" t="str">
        <x:f aca="0">IF(COUNT(ISCRITTI_STORICO!G$4:G$23)=20,ISCRITTI_STORICO!G4/SUM(ISCRITTI_STORICO!G$4:G$23),"")</x:f>
      </x:c>
      <x:c r="H4" s="31" t="str">
        <x:f aca="0">IF(COUNT(ISCRITTI_STORICO!H$4:H$23)=20,ISCRITTI_STORICO!H4/SUM(ISCRITTI_STORICO!H$4:H$23),"")</x:f>
      </x:c>
      <x:c r="I4" s="31" t="str">
        <x:f aca="0">IF(COUNT(ISCRITTI_STORICO!I$4:I$23)=20,ISCRITTI_STORICO!I4/SUM(ISCRITTI_STORICO!I$4:I$23),"")</x:f>
      </x:c>
      <x:c r="J4" s="31" t="str">
        <x:f aca="0">IF(COUNT(ISCRITTI_STORICO!J$4:J$23)=20,ISCRITTI_STORICO!J4/SUM(ISCRITTI_STORICO!J$4:J$23),"")</x:f>
      </x:c>
      <x:c r="K4" s="31" t="str">
        <x:f aca="0">IF(COUNT(ISCRITTI_STORICO!K$4:K$23)=20,ISCRITTI_STORICO!K4/SUM(ISCRITTI_STORICO!K$4:K$23),"")</x:f>
      </x:c>
      <x:c r="L4" s="31" t="str">
        <x:f aca="0">IF(COUNT(ISCRITTI_STORICO!L$4:L$23)=20,ISCRITTI_STORICO!L4/SUM(ISCRITTI_STORICO!L$4:L$23),"")</x:f>
      </x:c>
      <x:c r="M4" s="31" t="str">
        <x:f aca="0">IF(COUNT(ISCRITTI_STORICO!M$4:M$23)=20,ISCRITTI_STORICO!M4/SUM(ISCRITTI_STORICO!M$4:M$23),"")</x:f>
      </x:c>
      <x:c r="N4" s="31" t="str">
        <x:f aca="0">IF(COUNT(ISCRITTI_STORICO!N$4:N$23)=20,ISCRITTI_STORICO!N4/SUM(ISCRITTI_STORICO!N$4:N$23),"")</x:f>
      </x:c>
    </x:row>
    <x:row r="5" ht="15" hidden="0" customHeight="1">
      <x:c r="A5" s="5" t="s">
        <x:v>106</x:v>
      </x:c>
      <x:c r="B5" s="31" t="n">
        <x:f aca="0">IF(COUNT(ISCRITTI_STORICO!B$4:B$23)=20,ISCRITTI_STORICO!B5/SUM(ISCRITTI_STORICO!B$4:B$23),"")</x:f>
        <x:v>0.0013741882701845886</x:v>
      </x:c>
      <x:c r="C5" s="31" t="str">
        <x:f aca="0">IF(COUNT(ISCRITTI_STORICO!C$4:C$23)=20,ISCRITTI_STORICO!C5/SUM(ISCRITTI_STORICO!C$4:C$23),"")</x:f>
      </x:c>
      <x:c r="D5" s="31" t="str">
        <x:f aca="0">IF(COUNT(ISCRITTI_STORICO!D$4:D$23)=20,ISCRITTI_STORICO!D5/SUM(ISCRITTI_STORICO!D$4:D$23),"")</x:f>
      </x:c>
      <x:c r="E5" s="31" t="str">
        <x:f aca="0">IF(COUNT(ISCRITTI_STORICO!E$4:E$23)=20,ISCRITTI_STORICO!E5/SUM(ISCRITTI_STORICO!E$4:E$23),"")</x:f>
      </x:c>
      <x:c r="F5" s="31" t="str">
        <x:f aca="0">IF(COUNT(ISCRITTI_STORICO!F$4:F$23)=20,ISCRITTI_STORICO!F5/SUM(ISCRITTI_STORICO!F$4:F$23),"")</x:f>
      </x:c>
      <x:c r="G5" s="31" t="str">
        <x:f aca="0">IF(COUNT(ISCRITTI_STORICO!G$4:G$23)=20,ISCRITTI_STORICO!G5/SUM(ISCRITTI_STORICO!G$4:G$23),"")</x:f>
      </x:c>
      <x:c r="H5" s="31" t="str">
        <x:f aca="0">IF(COUNT(ISCRITTI_STORICO!H$4:H$23)=20,ISCRITTI_STORICO!H5/SUM(ISCRITTI_STORICO!H$4:H$23),"")</x:f>
      </x:c>
      <x:c r="I5" s="31" t="str">
        <x:f aca="0">IF(COUNT(ISCRITTI_STORICO!I$4:I$23)=20,ISCRITTI_STORICO!I5/SUM(ISCRITTI_STORICO!I$4:I$23),"")</x:f>
      </x:c>
      <x:c r="J5" s="31" t="str">
        <x:f aca="0">IF(COUNT(ISCRITTI_STORICO!J$4:J$23)=20,ISCRITTI_STORICO!J5/SUM(ISCRITTI_STORICO!J$4:J$23),"")</x:f>
      </x:c>
      <x:c r="K5" s="31" t="str">
        <x:f aca="0">IF(COUNT(ISCRITTI_STORICO!K$4:K$23)=20,ISCRITTI_STORICO!K5/SUM(ISCRITTI_STORICO!K$4:K$23),"")</x:f>
      </x:c>
      <x:c r="L5" s="31" t="str">
        <x:f aca="0">IF(COUNT(ISCRITTI_STORICO!L$4:L$23)=20,ISCRITTI_STORICO!L5/SUM(ISCRITTI_STORICO!L$4:L$23),"")</x:f>
      </x:c>
      <x:c r="M5" s="31" t="str">
        <x:f aca="0">IF(COUNT(ISCRITTI_STORICO!M$4:M$23)=20,ISCRITTI_STORICO!M5/SUM(ISCRITTI_STORICO!M$4:M$23),"")</x:f>
      </x:c>
      <x:c r="N5" s="31" t="str">
        <x:f aca="0">IF(COUNT(ISCRITTI_STORICO!N$4:N$23)=20,ISCRITTI_STORICO!N5/SUM(ISCRITTI_STORICO!N$4:N$23),"")</x:f>
      </x:c>
    </x:row>
    <x:row r="6" ht="15" hidden="0" customHeight="1">
      <x:c r="A6" s="5" t="s">
        <x:v>107</x:v>
      </x:c>
      <x:c r="B6" s="31" t="n">
        <x:f aca="0">IF(COUNT(ISCRITTI_STORICO!B$4:B$23)=20,ISCRITTI_STORICO!B6/SUM(ISCRITTI_STORICO!B$4:B$23),"")</x:f>
        <x:v>0.031670245947742495</x:v>
      </x:c>
      <x:c r="C6" s="31" t="str">
        <x:f aca="0">IF(COUNT(ISCRITTI_STORICO!C$4:C$23)=20,ISCRITTI_STORICO!C6/SUM(ISCRITTI_STORICO!C$4:C$23),"")</x:f>
      </x:c>
      <x:c r="D6" s="31" t="str">
        <x:f aca="0">IF(COUNT(ISCRITTI_STORICO!D$4:D$23)=20,ISCRITTI_STORICO!D6/SUM(ISCRITTI_STORICO!D$4:D$23),"")</x:f>
      </x:c>
      <x:c r="E6" s="31" t="str">
        <x:f aca="0">IF(COUNT(ISCRITTI_STORICO!E$4:E$23)=20,ISCRITTI_STORICO!E6/SUM(ISCRITTI_STORICO!E$4:E$23),"")</x:f>
      </x:c>
      <x:c r="F6" s="31" t="str">
        <x:f aca="0">IF(COUNT(ISCRITTI_STORICO!F$4:F$23)=20,ISCRITTI_STORICO!F6/SUM(ISCRITTI_STORICO!F$4:F$23),"")</x:f>
      </x:c>
      <x:c r="G6" s="31" t="str">
        <x:f aca="0">IF(COUNT(ISCRITTI_STORICO!G$4:G$23)=20,ISCRITTI_STORICO!G6/SUM(ISCRITTI_STORICO!G$4:G$23),"")</x:f>
      </x:c>
      <x:c r="H6" s="31" t="str">
        <x:f aca="0">IF(COUNT(ISCRITTI_STORICO!H$4:H$23)=20,ISCRITTI_STORICO!H6/SUM(ISCRITTI_STORICO!H$4:H$23),"")</x:f>
      </x:c>
      <x:c r="I6" s="31" t="str">
        <x:f aca="0">IF(COUNT(ISCRITTI_STORICO!I$4:I$23)=20,ISCRITTI_STORICO!I6/SUM(ISCRITTI_STORICO!I$4:I$23),"")</x:f>
      </x:c>
      <x:c r="J6" s="31" t="str">
        <x:f aca="0">IF(COUNT(ISCRITTI_STORICO!J$4:J$23)=20,ISCRITTI_STORICO!J6/SUM(ISCRITTI_STORICO!J$4:J$23),"")</x:f>
      </x:c>
      <x:c r="K6" s="31" t="str">
        <x:f aca="0">IF(COUNT(ISCRITTI_STORICO!K$4:K$23)=20,ISCRITTI_STORICO!K6/SUM(ISCRITTI_STORICO!K$4:K$23),"")</x:f>
      </x:c>
      <x:c r="L6" s="31" t="str">
        <x:f aca="0">IF(COUNT(ISCRITTI_STORICO!L$4:L$23)=20,ISCRITTI_STORICO!L6/SUM(ISCRITTI_STORICO!L$4:L$23),"")</x:f>
      </x:c>
      <x:c r="M6" s="31" t="str">
        <x:f aca="0">IF(COUNT(ISCRITTI_STORICO!M$4:M$23)=20,ISCRITTI_STORICO!M6/SUM(ISCRITTI_STORICO!M$4:M$23),"")</x:f>
      </x:c>
      <x:c r="N6" s="31" t="str">
        <x:f aca="0">IF(COUNT(ISCRITTI_STORICO!N$4:N$23)=20,ISCRITTI_STORICO!N6/SUM(ISCRITTI_STORICO!N$4:N$23),"")</x:f>
      </x:c>
    </x:row>
    <x:row r="7" ht="15" hidden="0" customHeight="1">
      <x:c r="A7" s="5" t="s">
        <x:v>108</x:v>
      </x:c>
      <x:c r="B7" s="31" t="n">
        <x:f aca="0">IF(COUNT(ISCRITTI_STORICO!B$4:B$23)=20,ISCRITTI_STORICO!B7/SUM(ISCRITTI_STORICO!B$4:B$23),"")</x:f>
        <x:v>0.15143554737434167</x:v>
      </x:c>
      <x:c r="C7" s="31" t="str">
        <x:f aca="0">IF(COUNT(ISCRITTI_STORICO!C$4:C$23)=20,ISCRITTI_STORICO!C7/SUM(ISCRITTI_STORICO!C$4:C$23),"")</x:f>
      </x:c>
      <x:c r="D7" s="31" t="str">
        <x:f aca="0">IF(COUNT(ISCRITTI_STORICO!D$4:D$23)=20,ISCRITTI_STORICO!D7/SUM(ISCRITTI_STORICO!D$4:D$23),"")</x:f>
      </x:c>
      <x:c r="E7" s="31" t="str">
        <x:f aca="0">IF(COUNT(ISCRITTI_STORICO!E$4:E$23)=20,ISCRITTI_STORICO!E7/SUM(ISCRITTI_STORICO!E$4:E$23),"")</x:f>
      </x:c>
      <x:c r="F7" s="31" t="str">
        <x:f aca="0">IF(COUNT(ISCRITTI_STORICO!F$4:F$23)=20,ISCRITTI_STORICO!F7/SUM(ISCRITTI_STORICO!F$4:F$23),"")</x:f>
      </x:c>
      <x:c r="G7" s="31" t="str">
        <x:f aca="0">IF(COUNT(ISCRITTI_STORICO!G$4:G$23)=20,ISCRITTI_STORICO!G7/SUM(ISCRITTI_STORICO!G$4:G$23),"")</x:f>
      </x:c>
      <x:c r="H7" s="31" t="str">
        <x:f aca="0">IF(COUNT(ISCRITTI_STORICO!H$4:H$23)=20,ISCRITTI_STORICO!H7/SUM(ISCRITTI_STORICO!H$4:H$23),"")</x:f>
      </x:c>
      <x:c r="I7" s="31" t="str">
        <x:f aca="0">IF(COUNT(ISCRITTI_STORICO!I$4:I$23)=20,ISCRITTI_STORICO!I7/SUM(ISCRITTI_STORICO!I$4:I$23),"")</x:f>
      </x:c>
      <x:c r="J7" s="31" t="str">
        <x:f aca="0">IF(COUNT(ISCRITTI_STORICO!J$4:J$23)=20,ISCRITTI_STORICO!J7/SUM(ISCRITTI_STORICO!J$4:J$23),"")</x:f>
      </x:c>
      <x:c r="K7" s="31" t="str">
        <x:f aca="0">IF(COUNT(ISCRITTI_STORICO!K$4:K$23)=20,ISCRITTI_STORICO!K7/SUM(ISCRITTI_STORICO!K$4:K$23),"")</x:f>
      </x:c>
      <x:c r="L7" s="31" t="str">
        <x:f aca="0">IF(COUNT(ISCRITTI_STORICO!L$4:L$23)=20,ISCRITTI_STORICO!L7/SUM(ISCRITTI_STORICO!L$4:L$23),"")</x:f>
      </x:c>
      <x:c r="M7" s="31" t="str">
        <x:f aca="0">IF(COUNT(ISCRITTI_STORICO!M$4:M$23)=20,ISCRITTI_STORICO!M7/SUM(ISCRITTI_STORICO!M$4:M$23),"")</x:f>
      </x:c>
      <x:c r="N7" s="31" t="str">
        <x:f aca="0">IF(COUNT(ISCRITTI_STORICO!N$4:N$23)=20,ISCRITTI_STORICO!N7/SUM(ISCRITTI_STORICO!N$4:N$23),"")</x:f>
      </x:c>
    </x:row>
    <x:row r="8" ht="15" hidden="0" customHeight="1">
      <x:c r="A8" s="5" t="s">
        <x:v>110</x:v>
      </x:c>
      <x:c r="B8" s="31" t="n">
        <x:f aca="0">IF(COUNT(ISCRITTI_STORICO!B$4:B$23)=20,ISCRITTI_STORICO!B8/SUM(ISCRITTI_STORICO!B$4:B$23),"")</x:f>
        <x:v>0.011996983177378944</x:v>
      </x:c>
      <x:c r="C8" s="31" t="str">
        <x:f aca="0">IF(COUNT(ISCRITTI_STORICO!C$4:C$23)=20,ISCRITTI_STORICO!C8/SUM(ISCRITTI_STORICO!C$4:C$23),"")</x:f>
      </x:c>
      <x:c r="D8" s="31" t="str">
        <x:f aca="0">IF(COUNT(ISCRITTI_STORICO!D$4:D$23)=20,ISCRITTI_STORICO!D8/SUM(ISCRITTI_STORICO!D$4:D$23),"")</x:f>
      </x:c>
      <x:c r="E8" s="31" t="str">
        <x:f aca="0">IF(COUNT(ISCRITTI_STORICO!E$4:E$23)=20,ISCRITTI_STORICO!E8/SUM(ISCRITTI_STORICO!E$4:E$23),"")</x:f>
      </x:c>
      <x:c r="F8" s="31" t="str">
        <x:f aca="0">IF(COUNT(ISCRITTI_STORICO!F$4:F$23)=20,ISCRITTI_STORICO!F8/SUM(ISCRITTI_STORICO!F$4:F$23),"")</x:f>
      </x:c>
      <x:c r="G8" s="31" t="str">
        <x:f aca="0">IF(COUNT(ISCRITTI_STORICO!G$4:G$23)=20,ISCRITTI_STORICO!G8/SUM(ISCRITTI_STORICO!G$4:G$23),"")</x:f>
      </x:c>
      <x:c r="H8" s="31" t="str">
        <x:f aca="0">IF(COUNT(ISCRITTI_STORICO!H$4:H$23)=20,ISCRITTI_STORICO!H8/SUM(ISCRITTI_STORICO!H$4:H$23),"")</x:f>
      </x:c>
      <x:c r="I8" s="31" t="str">
        <x:f aca="0">IF(COUNT(ISCRITTI_STORICO!I$4:I$23)=20,ISCRITTI_STORICO!I8/SUM(ISCRITTI_STORICO!I$4:I$23),"")</x:f>
      </x:c>
      <x:c r="J8" s="31" t="str">
        <x:f aca="0">IF(COUNT(ISCRITTI_STORICO!J$4:J$23)=20,ISCRITTI_STORICO!J8/SUM(ISCRITTI_STORICO!J$4:J$23),"")</x:f>
      </x:c>
      <x:c r="K8" s="31" t="str">
        <x:f aca="0">IF(COUNT(ISCRITTI_STORICO!K$4:K$23)=20,ISCRITTI_STORICO!K8/SUM(ISCRITTI_STORICO!K$4:K$23),"")</x:f>
      </x:c>
      <x:c r="L8" s="31" t="str">
        <x:f aca="0">IF(COUNT(ISCRITTI_STORICO!L$4:L$23)=20,ISCRITTI_STORICO!L8/SUM(ISCRITTI_STORICO!L$4:L$23),"")</x:f>
      </x:c>
      <x:c r="M8" s="31" t="str">
        <x:f aca="0">IF(COUNT(ISCRITTI_STORICO!M$4:M$23)=20,ISCRITTI_STORICO!M8/SUM(ISCRITTI_STORICO!M$4:M$23),"")</x:f>
      </x:c>
      <x:c r="N8" s="31" t="str">
        <x:f aca="0">IF(COUNT(ISCRITTI_STORICO!N$4:N$23)=20,ISCRITTI_STORICO!N8/SUM(ISCRITTI_STORICO!N$4:N$23),"")</x:f>
      </x:c>
    </x:row>
    <x:row r="9" ht="15" hidden="0" customHeight="1">
      <x:c r="A9" s="5" t="s">
        <x:v>111</x:v>
      </x:c>
      <x:c r="B9" s="31" t="n">
        <x:f aca="0">IF(COUNT(ISCRITTI_STORICO!B$4:B$23)=20,ISCRITTI_STORICO!B9/SUM(ISCRITTI_STORICO!B$4:B$23),"")</x:f>
        <x:v>0.10192002863424861</x:v>
      </x:c>
      <x:c r="C9" s="31" t="str">
        <x:f aca="0">IF(COUNT(ISCRITTI_STORICO!C$4:C$23)=20,ISCRITTI_STORICO!C9/SUM(ISCRITTI_STORICO!C$4:C$23),"")</x:f>
      </x:c>
      <x:c r="D9" s="31" t="str">
        <x:f aca="0">IF(COUNT(ISCRITTI_STORICO!D$4:D$23)=20,ISCRITTI_STORICO!D9/SUM(ISCRITTI_STORICO!D$4:D$23),"")</x:f>
      </x:c>
      <x:c r="E9" s="31" t="str">
        <x:f aca="0">IF(COUNT(ISCRITTI_STORICO!E$4:E$23)=20,ISCRITTI_STORICO!E9/SUM(ISCRITTI_STORICO!E$4:E$23),"")</x:f>
      </x:c>
      <x:c r="F9" s="31" t="str">
        <x:f aca="0">IF(COUNT(ISCRITTI_STORICO!F$4:F$23)=20,ISCRITTI_STORICO!F9/SUM(ISCRITTI_STORICO!F$4:F$23),"")</x:f>
      </x:c>
      <x:c r="G9" s="31" t="str">
        <x:f aca="0">IF(COUNT(ISCRITTI_STORICO!G$4:G$23)=20,ISCRITTI_STORICO!G9/SUM(ISCRITTI_STORICO!G$4:G$23),"")</x:f>
      </x:c>
      <x:c r="H9" s="31" t="str">
        <x:f aca="0">IF(COUNT(ISCRITTI_STORICO!H$4:H$23)=20,ISCRITTI_STORICO!H9/SUM(ISCRITTI_STORICO!H$4:H$23),"")</x:f>
      </x:c>
      <x:c r="I9" s="31" t="str">
        <x:f aca="0">IF(COUNT(ISCRITTI_STORICO!I$4:I$23)=20,ISCRITTI_STORICO!I9/SUM(ISCRITTI_STORICO!I$4:I$23),"")</x:f>
      </x:c>
      <x:c r="J9" s="31" t="str">
        <x:f aca="0">IF(COUNT(ISCRITTI_STORICO!J$4:J$23)=20,ISCRITTI_STORICO!J9/SUM(ISCRITTI_STORICO!J$4:J$23),"")</x:f>
      </x:c>
      <x:c r="K9" s="31" t="str">
        <x:f aca="0">IF(COUNT(ISCRITTI_STORICO!K$4:K$23)=20,ISCRITTI_STORICO!K9/SUM(ISCRITTI_STORICO!K$4:K$23),"")</x:f>
      </x:c>
      <x:c r="L9" s="31" t="str">
        <x:f aca="0">IF(COUNT(ISCRITTI_STORICO!L$4:L$23)=20,ISCRITTI_STORICO!L9/SUM(ISCRITTI_STORICO!L$4:L$23),"")</x:f>
      </x:c>
      <x:c r="M9" s="31" t="str">
        <x:f aca="0">IF(COUNT(ISCRITTI_STORICO!M$4:M$23)=20,ISCRITTI_STORICO!M9/SUM(ISCRITTI_STORICO!M$4:M$23),"")</x:f>
      </x:c>
      <x:c r="N9" s="31" t="str">
        <x:f aca="0">IF(COUNT(ISCRITTI_STORICO!N$4:N$23)=20,ISCRITTI_STORICO!N9/SUM(ISCRITTI_STORICO!N$4:N$23),"")</x:f>
      </x:c>
    </x:row>
    <x:row r="10" ht="15" hidden="0" customHeight="1">
      <x:c r="A10" s="5" t="s">
        <x:v>112</x:v>
      </x:c>
      <x:c r="B10" s="31" t="n">
        <x:f aca="0">IF(COUNT(ISCRITTI_STORICO!B$4:B$23)=20,ISCRITTI_STORICO!B10/SUM(ISCRITTI_STORICO!B$4:B$23),"")</x:f>
        <x:v>0.024045098941555453</x:v>
      </x:c>
      <x:c r="C10" s="31" t="str">
        <x:f aca="0">IF(COUNT(ISCRITTI_STORICO!C$4:C$23)=20,ISCRITTI_STORICO!C10/SUM(ISCRITTI_STORICO!C$4:C$23),"")</x:f>
      </x:c>
      <x:c r="D10" s="31" t="str">
        <x:f aca="0">IF(COUNT(ISCRITTI_STORICO!D$4:D$23)=20,ISCRITTI_STORICO!D10/SUM(ISCRITTI_STORICO!D$4:D$23),"")</x:f>
      </x:c>
      <x:c r="E10" s="31" t="str">
        <x:f aca="0">IF(COUNT(ISCRITTI_STORICO!E$4:E$23)=20,ISCRITTI_STORICO!E10/SUM(ISCRITTI_STORICO!E$4:E$23),"")</x:f>
      </x:c>
      <x:c r="F10" s="31" t="str">
        <x:f aca="0">IF(COUNT(ISCRITTI_STORICO!F$4:F$23)=20,ISCRITTI_STORICO!F10/SUM(ISCRITTI_STORICO!F$4:F$23),"")</x:f>
      </x:c>
      <x:c r="G10" s="31" t="str">
        <x:f aca="0">IF(COUNT(ISCRITTI_STORICO!G$4:G$23)=20,ISCRITTI_STORICO!G10/SUM(ISCRITTI_STORICO!G$4:G$23),"")</x:f>
      </x:c>
      <x:c r="H10" s="31" t="str">
        <x:f aca="0">IF(COUNT(ISCRITTI_STORICO!H$4:H$23)=20,ISCRITTI_STORICO!H10/SUM(ISCRITTI_STORICO!H$4:H$23),"")</x:f>
      </x:c>
      <x:c r="I10" s="31" t="str">
        <x:f aca="0">IF(COUNT(ISCRITTI_STORICO!I$4:I$23)=20,ISCRITTI_STORICO!I10/SUM(ISCRITTI_STORICO!I$4:I$23),"")</x:f>
      </x:c>
      <x:c r="J10" s="31" t="str">
        <x:f aca="0">IF(COUNT(ISCRITTI_STORICO!J$4:J$23)=20,ISCRITTI_STORICO!J10/SUM(ISCRITTI_STORICO!J$4:J$23),"")</x:f>
      </x:c>
      <x:c r="K10" s="31" t="str">
        <x:f aca="0">IF(COUNT(ISCRITTI_STORICO!K$4:K$23)=20,ISCRITTI_STORICO!K10/SUM(ISCRITTI_STORICO!K$4:K$23),"")</x:f>
      </x:c>
      <x:c r="L10" s="31" t="str">
        <x:f aca="0">IF(COUNT(ISCRITTI_STORICO!L$4:L$23)=20,ISCRITTI_STORICO!L10/SUM(ISCRITTI_STORICO!L$4:L$23),"")</x:f>
      </x:c>
      <x:c r="M10" s="31" t="str">
        <x:f aca="0">IF(COUNT(ISCRITTI_STORICO!M$4:M$23)=20,ISCRITTI_STORICO!M10/SUM(ISCRITTI_STORICO!M$4:M$23),"")</x:f>
      </x:c>
      <x:c r="N10" s="31" t="str">
        <x:f aca="0">IF(COUNT(ISCRITTI_STORICO!N$4:N$23)=20,ISCRITTI_STORICO!N10/SUM(ISCRITTI_STORICO!N$4:N$23),"")</x:f>
      </x:c>
    </x:row>
    <x:row r="11" ht="15" hidden="0" customHeight="1">
      <x:c r="A11" s="5" t="s">
        <x:v>113</x:v>
      </x:c>
      <x:c r="B11" s="31" t="n">
        <x:f aca="0">IF(COUNT(ISCRITTI_STORICO!B$4:B$23)=20,ISCRITTI_STORICO!B11/SUM(ISCRITTI_STORICO!B$4:B$23),"")</x:f>
        <x:v>0.060112747353888635</x:v>
      </x:c>
      <x:c r="C11" s="31" t="str">
        <x:f aca="0">IF(COUNT(ISCRITTI_STORICO!C$4:C$23)=20,ISCRITTI_STORICO!C11/SUM(ISCRITTI_STORICO!C$4:C$23),"")</x:f>
      </x:c>
      <x:c r="D11" s="31" t="str">
        <x:f aca="0">IF(COUNT(ISCRITTI_STORICO!D$4:D$23)=20,ISCRITTI_STORICO!D11/SUM(ISCRITTI_STORICO!D$4:D$23),"")</x:f>
      </x:c>
      <x:c r="E11" s="31" t="str">
        <x:f aca="0">IF(COUNT(ISCRITTI_STORICO!E$4:E$23)=20,ISCRITTI_STORICO!E11/SUM(ISCRITTI_STORICO!E$4:E$23),"")</x:f>
      </x:c>
      <x:c r="F11" s="31" t="str">
        <x:f aca="0">IF(COUNT(ISCRITTI_STORICO!F$4:F$23)=20,ISCRITTI_STORICO!F11/SUM(ISCRITTI_STORICO!F$4:F$23),"")</x:f>
      </x:c>
      <x:c r="G11" s="31" t="str">
        <x:f aca="0">IF(COUNT(ISCRITTI_STORICO!G$4:G$23)=20,ISCRITTI_STORICO!G11/SUM(ISCRITTI_STORICO!G$4:G$23),"")</x:f>
      </x:c>
      <x:c r="H11" s="31" t="str">
        <x:f aca="0">IF(COUNT(ISCRITTI_STORICO!H$4:H$23)=20,ISCRITTI_STORICO!H11/SUM(ISCRITTI_STORICO!H$4:H$23),"")</x:f>
      </x:c>
      <x:c r="I11" s="31" t="str">
        <x:f aca="0">IF(COUNT(ISCRITTI_STORICO!I$4:I$23)=20,ISCRITTI_STORICO!I11/SUM(ISCRITTI_STORICO!I$4:I$23),"")</x:f>
      </x:c>
      <x:c r="J11" s="31" t="str">
        <x:f aca="0">IF(COUNT(ISCRITTI_STORICO!J$4:J$23)=20,ISCRITTI_STORICO!J11/SUM(ISCRITTI_STORICO!J$4:J$23),"")</x:f>
      </x:c>
      <x:c r="K11" s="31" t="str">
        <x:f aca="0">IF(COUNT(ISCRITTI_STORICO!K$4:K$23)=20,ISCRITTI_STORICO!K11/SUM(ISCRITTI_STORICO!K$4:K$23),"")</x:f>
      </x:c>
      <x:c r="L11" s="31" t="str">
        <x:f aca="0">IF(COUNT(ISCRITTI_STORICO!L$4:L$23)=20,ISCRITTI_STORICO!L11/SUM(ISCRITTI_STORICO!L$4:L$23),"")</x:f>
      </x:c>
      <x:c r="M11" s="31" t="str">
        <x:f aca="0">IF(COUNT(ISCRITTI_STORICO!M$4:M$23)=20,ISCRITTI_STORICO!M11/SUM(ISCRITTI_STORICO!M$4:M$23),"")</x:f>
      </x:c>
      <x:c r="N11" s="31" t="str">
        <x:f aca="0">IF(COUNT(ISCRITTI_STORICO!N$4:N$23)=20,ISCRITTI_STORICO!N11/SUM(ISCRITTI_STORICO!N$4:N$23),"")</x:f>
      </x:c>
    </x:row>
    <x:row r="12" ht="15" hidden="0" customHeight="1">
      <x:c r="A12" s="5" t="s">
        <x:v>114</x:v>
      </x:c>
      <x:c r="B12" s="31" t="n">
        <x:f aca="0">IF(COUNT(ISCRITTI_STORICO!B$4:B$23)=20,ISCRITTI_STORICO!B12/SUM(ISCRITTI_STORICO!B$4:B$23),"")</x:f>
        <x:v>0.04826916193690239</x:v>
      </x:c>
      <x:c r="C12" s="31" t="str">
        <x:f aca="0">IF(COUNT(ISCRITTI_STORICO!C$4:C$23)=20,ISCRITTI_STORICO!C12/SUM(ISCRITTI_STORICO!C$4:C$23),"")</x:f>
      </x:c>
      <x:c r="D12" s="31" t="str">
        <x:f aca="0">IF(COUNT(ISCRITTI_STORICO!D$4:D$23)=20,ISCRITTI_STORICO!D12/SUM(ISCRITTI_STORICO!D$4:D$23),"")</x:f>
      </x:c>
      <x:c r="E12" s="31" t="str">
        <x:f aca="0">IF(COUNT(ISCRITTI_STORICO!E$4:E$23)=20,ISCRITTI_STORICO!E12/SUM(ISCRITTI_STORICO!E$4:E$23),"")</x:f>
      </x:c>
      <x:c r="F12" s="31" t="str">
        <x:f aca="0">IF(COUNT(ISCRITTI_STORICO!F$4:F$23)=20,ISCRITTI_STORICO!F12/SUM(ISCRITTI_STORICO!F$4:F$23),"")</x:f>
      </x:c>
      <x:c r="G12" s="31" t="str">
        <x:f aca="0">IF(COUNT(ISCRITTI_STORICO!G$4:G$23)=20,ISCRITTI_STORICO!G12/SUM(ISCRITTI_STORICO!G$4:G$23),"")</x:f>
      </x:c>
      <x:c r="H12" s="31" t="str">
        <x:f aca="0">IF(COUNT(ISCRITTI_STORICO!H$4:H$23)=20,ISCRITTI_STORICO!H12/SUM(ISCRITTI_STORICO!H$4:H$23),"")</x:f>
      </x:c>
      <x:c r="I12" s="31" t="str">
        <x:f aca="0">IF(COUNT(ISCRITTI_STORICO!I$4:I$23)=20,ISCRITTI_STORICO!I12/SUM(ISCRITTI_STORICO!I$4:I$23),"")</x:f>
      </x:c>
      <x:c r="J12" s="31" t="str">
        <x:f aca="0">IF(COUNT(ISCRITTI_STORICO!J$4:J$23)=20,ISCRITTI_STORICO!J12/SUM(ISCRITTI_STORICO!J$4:J$23),"")</x:f>
      </x:c>
      <x:c r="K12" s="31" t="str">
        <x:f aca="0">IF(COUNT(ISCRITTI_STORICO!K$4:K$23)=20,ISCRITTI_STORICO!K12/SUM(ISCRITTI_STORICO!K$4:K$23),"")</x:f>
      </x:c>
      <x:c r="L12" s="31" t="str">
        <x:f aca="0">IF(COUNT(ISCRITTI_STORICO!L$4:L$23)=20,ISCRITTI_STORICO!L12/SUM(ISCRITTI_STORICO!L$4:L$23),"")</x:f>
      </x:c>
      <x:c r="M12" s="31" t="str">
        <x:f aca="0">IF(COUNT(ISCRITTI_STORICO!M$4:M$23)=20,ISCRITTI_STORICO!M12/SUM(ISCRITTI_STORICO!M$4:M$23),"")</x:f>
      </x:c>
      <x:c r="N12" s="31" t="str">
        <x:f aca="0">IF(COUNT(ISCRITTI_STORICO!N$4:N$23)=20,ISCRITTI_STORICO!N12/SUM(ISCRITTI_STORICO!N$4:N$23),"")</x:f>
      </x:c>
    </x:row>
    <x:row r="13" ht="15" hidden="0" customHeight="1">
      <x:c r="A13" s="5" t="s">
        <x:v>115</x:v>
      </x:c>
      <x:c r="B13" s="31" t="n">
        <x:f aca="0">IF(COUNT(ISCRITTI_STORICO!B$4:B$23)=20,ISCRITTI_STORICO!B13/SUM(ISCRITTI_STORICO!B$4:B$23),"")</x:f>
        <x:v>0.01347982819450836</x:v>
      </x:c>
      <x:c r="C13" s="31" t="str">
        <x:f aca="0">IF(COUNT(ISCRITTI_STORICO!C$4:C$23)=20,ISCRITTI_STORICO!C13/SUM(ISCRITTI_STORICO!C$4:C$23),"")</x:f>
      </x:c>
      <x:c r="D13" s="31" t="str">
        <x:f aca="0">IF(COUNT(ISCRITTI_STORICO!D$4:D$23)=20,ISCRITTI_STORICO!D13/SUM(ISCRITTI_STORICO!D$4:D$23),"")</x:f>
      </x:c>
      <x:c r="E13" s="31" t="str">
        <x:f aca="0">IF(COUNT(ISCRITTI_STORICO!E$4:E$23)=20,ISCRITTI_STORICO!E13/SUM(ISCRITTI_STORICO!E$4:E$23),"")</x:f>
      </x:c>
      <x:c r="F13" s="31" t="str">
        <x:f aca="0">IF(COUNT(ISCRITTI_STORICO!F$4:F$23)=20,ISCRITTI_STORICO!F13/SUM(ISCRITTI_STORICO!F$4:F$23),"")</x:f>
      </x:c>
      <x:c r="G13" s="31" t="str">
        <x:f aca="0">IF(COUNT(ISCRITTI_STORICO!G$4:G$23)=20,ISCRITTI_STORICO!G13/SUM(ISCRITTI_STORICO!G$4:G$23),"")</x:f>
      </x:c>
      <x:c r="H13" s="31" t="str">
        <x:f aca="0">IF(COUNT(ISCRITTI_STORICO!H$4:H$23)=20,ISCRITTI_STORICO!H13/SUM(ISCRITTI_STORICO!H$4:H$23),"")</x:f>
      </x:c>
      <x:c r="I13" s="31" t="str">
        <x:f aca="0">IF(COUNT(ISCRITTI_STORICO!I$4:I$23)=20,ISCRITTI_STORICO!I13/SUM(ISCRITTI_STORICO!I$4:I$23),"")</x:f>
      </x:c>
      <x:c r="J13" s="31" t="str">
        <x:f aca="0">IF(COUNT(ISCRITTI_STORICO!J$4:J$23)=20,ISCRITTI_STORICO!J13/SUM(ISCRITTI_STORICO!J$4:J$23),"")</x:f>
      </x:c>
      <x:c r="K13" s="31" t="str">
        <x:f aca="0">IF(COUNT(ISCRITTI_STORICO!K$4:K$23)=20,ISCRITTI_STORICO!K13/SUM(ISCRITTI_STORICO!K$4:K$23),"")</x:f>
      </x:c>
      <x:c r="L13" s="31" t="str">
        <x:f aca="0">IF(COUNT(ISCRITTI_STORICO!L$4:L$23)=20,ISCRITTI_STORICO!L13/SUM(ISCRITTI_STORICO!L$4:L$23),"")</x:f>
      </x:c>
      <x:c r="M13" s="31" t="str">
        <x:f aca="0">IF(COUNT(ISCRITTI_STORICO!M$4:M$23)=20,ISCRITTI_STORICO!M13/SUM(ISCRITTI_STORICO!M$4:M$23),"")</x:f>
      </x:c>
      <x:c r="N13" s="31" t="str">
        <x:f aca="0">IF(COUNT(ISCRITTI_STORICO!N$4:N$23)=20,ISCRITTI_STORICO!N13/SUM(ISCRITTI_STORICO!N$4:N$23),"")</x:f>
      </x:c>
    </x:row>
    <x:row r="14" ht="15" hidden="0" customHeight="1">
      <x:c r="A14" s="5" t="s">
        <x:v>116</x:v>
      </x:c>
      <x:c r="B14" s="31" t="n">
        <x:f aca="0">IF(COUNT(ISCRITTI_STORICO!B$4:B$23)=20,ISCRITTI_STORICO!B14/SUM(ISCRITTI_STORICO!B$4:B$23),"")</x:f>
        <x:v>0.02723449404305364</x:v>
      </x:c>
      <x:c r="C14" s="31" t="str">
        <x:f aca="0">IF(COUNT(ISCRITTI_STORICO!C$4:C$23)=20,ISCRITTI_STORICO!C14/SUM(ISCRITTI_STORICO!C$4:C$23),"")</x:f>
      </x:c>
      <x:c r="D14" s="31" t="str">
        <x:f aca="0">IF(COUNT(ISCRITTI_STORICO!D$4:D$23)=20,ISCRITTI_STORICO!D14/SUM(ISCRITTI_STORICO!D$4:D$23),"")</x:f>
      </x:c>
      <x:c r="E14" s="31" t="str">
        <x:f aca="0">IF(COUNT(ISCRITTI_STORICO!E$4:E$23)=20,ISCRITTI_STORICO!E14/SUM(ISCRITTI_STORICO!E$4:E$23),"")</x:f>
      </x:c>
      <x:c r="F14" s="31" t="str">
        <x:f aca="0">IF(COUNT(ISCRITTI_STORICO!F$4:F$23)=20,ISCRITTI_STORICO!F14/SUM(ISCRITTI_STORICO!F$4:F$23),"")</x:f>
      </x:c>
      <x:c r="G14" s="31" t="str">
        <x:f aca="0">IF(COUNT(ISCRITTI_STORICO!G$4:G$23)=20,ISCRITTI_STORICO!G14/SUM(ISCRITTI_STORICO!G$4:G$23),"")</x:f>
      </x:c>
      <x:c r="H14" s="31" t="str">
        <x:f aca="0">IF(COUNT(ISCRITTI_STORICO!H$4:H$23)=20,ISCRITTI_STORICO!H14/SUM(ISCRITTI_STORICO!H$4:H$23),"")</x:f>
      </x:c>
      <x:c r="I14" s="31" t="str">
        <x:f aca="0">IF(COUNT(ISCRITTI_STORICO!I$4:I$23)=20,ISCRITTI_STORICO!I14/SUM(ISCRITTI_STORICO!I$4:I$23),"")</x:f>
      </x:c>
      <x:c r="J14" s="31" t="str">
        <x:f aca="0">IF(COUNT(ISCRITTI_STORICO!J$4:J$23)=20,ISCRITTI_STORICO!J14/SUM(ISCRITTI_STORICO!J$4:J$23),"")</x:f>
      </x:c>
      <x:c r="K14" s="31" t="str">
        <x:f aca="0">IF(COUNT(ISCRITTI_STORICO!K$4:K$23)=20,ISCRITTI_STORICO!K14/SUM(ISCRITTI_STORICO!K$4:K$23),"")</x:f>
      </x:c>
      <x:c r="L14" s="31" t="str">
        <x:f aca="0">IF(COUNT(ISCRITTI_STORICO!L$4:L$23)=20,ISCRITTI_STORICO!L14/SUM(ISCRITTI_STORICO!L$4:L$23),"")</x:f>
      </x:c>
      <x:c r="M14" s="31" t="str">
        <x:f aca="0">IF(COUNT(ISCRITTI_STORICO!M$4:M$23)=20,ISCRITTI_STORICO!M14/SUM(ISCRITTI_STORICO!M$4:M$23),"")</x:f>
      </x:c>
      <x:c r="N14" s="31" t="str">
        <x:f aca="0">IF(COUNT(ISCRITTI_STORICO!N$4:N$23)=20,ISCRITTI_STORICO!N14/SUM(ISCRITTI_STORICO!N$4:N$23),"")</x:f>
      </x:c>
    </x:row>
    <x:row r="15" ht="15" hidden="0" customHeight="1">
      <x:c r="A15" s="5" t="s">
        <x:v>117</x:v>
      </x:c>
      <x:c r="B15" s="31" t="n">
        <x:f aca="0">IF(COUNT(ISCRITTI_STORICO!B$4:B$23)=20,ISCRITTI_STORICO!B15/SUM(ISCRITTI_STORICO!B$4:B$23),"")</x:f>
        <x:v>0.10155570895331595</x:v>
      </x:c>
      <x:c r="C15" s="31" t="str">
        <x:f aca="0">IF(COUNT(ISCRITTI_STORICO!C$4:C$23)=20,ISCRITTI_STORICO!C15/SUM(ISCRITTI_STORICO!C$4:C$23),"")</x:f>
      </x:c>
      <x:c r="D15" s="31" t="str">
        <x:f aca="0">IF(COUNT(ISCRITTI_STORICO!D$4:D$23)=20,ISCRITTI_STORICO!D15/SUM(ISCRITTI_STORICO!D$4:D$23),"")</x:f>
      </x:c>
      <x:c r="E15" s="31" t="str">
        <x:f aca="0">IF(COUNT(ISCRITTI_STORICO!E$4:E$23)=20,ISCRITTI_STORICO!E15/SUM(ISCRITTI_STORICO!E$4:E$23),"")</x:f>
      </x:c>
      <x:c r="F15" s="31" t="str">
        <x:f aca="0">IF(COUNT(ISCRITTI_STORICO!F$4:F$23)=20,ISCRITTI_STORICO!F15/SUM(ISCRITTI_STORICO!F$4:F$23),"")</x:f>
      </x:c>
      <x:c r="G15" s="31" t="str">
        <x:f aca="0">IF(COUNT(ISCRITTI_STORICO!G$4:G$23)=20,ISCRITTI_STORICO!G15/SUM(ISCRITTI_STORICO!G$4:G$23),"")</x:f>
      </x:c>
      <x:c r="H15" s="31" t="str">
        <x:f aca="0">IF(COUNT(ISCRITTI_STORICO!H$4:H$23)=20,ISCRITTI_STORICO!H15/SUM(ISCRITTI_STORICO!H$4:H$23),"")</x:f>
      </x:c>
      <x:c r="I15" s="31" t="str">
        <x:f aca="0">IF(COUNT(ISCRITTI_STORICO!I$4:I$23)=20,ISCRITTI_STORICO!I15/SUM(ISCRITTI_STORICO!I$4:I$23),"")</x:f>
      </x:c>
      <x:c r="J15" s="31" t="str">
        <x:f aca="0">IF(COUNT(ISCRITTI_STORICO!J$4:J$23)=20,ISCRITTI_STORICO!J15/SUM(ISCRITTI_STORICO!J$4:J$23),"")</x:f>
      </x:c>
      <x:c r="K15" s="31" t="str">
        <x:f aca="0">IF(COUNT(ISCRITTI_STORICO!K$4:K$23)=20,ISCRITTI_STORICO!K15/SUM(ISCRITTI_STORICO!K$4:K$23),"")</x:f>
      </x:c>
      <x:c r="L15" s="31" t="str">
        <x:f aca="0">IF(COUNT(ISCRITTI_STORICO!L$4:L$23)=20,ISCRITTI_STORICO!L15/SUM(ISCRITTI_STORICO!L$4:L$23),"")</x:f>
      </x:c>
      <x:c r="M15" s="31" t="str">
        <x:f aca="0">IF(COUNT(ISCRITTI_STORICO!M$4:M$23)=20,ISCRITTI_STORICO!M15/SUM(ISCRITTI_STORICO!M$4:M$23),"")</x:f>
      </x:c>
      <x:c r="N15" s="31" t="str">
        <x:f aca="0">IF(COUNT(ISCRITTI_STORICO!N$4:N$23)=20,ISCRITTI_STORICO!N15/SUM(ISCRITTI_STORICO!N$4:N$23),"")</x:f>
      </x:c>
    </x:row>
    <x:row r="16" ht="15" hidden="0" customHeight="1">
      <x:c r="A16" s="5" t="s">
        <x:v>118</x:v>
      </x:c>
      <x:c r="B16" s="31" t="n">
        <x:f aca="0">IF(COUNT(ISCRITTI_STORICO!B$4:B$23)=20,ISCRITTI_STORICO!B16/SUM(ISCRITTI_STORICO!B$4:B$23),"")</x:f>
        <x:v>0.027643554737434167</x:v>
      </x:c>
      <x:c r="C16" s="31" t="str">
        <x:f aca="0">IF(COUNT(ISCRITTI_STORICO!C$4:C$23)=20,ISCRITTI_STORICO!C16/SUM(ISCRITTI_STORICO!C$4:C$23),"")</x:f>
      </x:c>
      <x:c r="D16" s="31" t="str">
        <x:f aca="0">IF(COUNT(ISCRITTI_STORICO!D$4:D$23)=20,ISCRITTI_STORICO!D16/SUM(ISCRITTI_STORICO!D$4:D$23),"")</x:f>
      </x:c>
      <x:c r="E16" s="31" t="str">
        <x:f aca="0">IF(COUNT(ISCRITTI_STORICO!E$4:E$23)=20,ISCRITTI_STORICO!E16/SUM(ISCRITTI_STORICO!E$4:E$23),"")</x:f>
      </x:c>
      <x:c r="F16" s="31" t="str">
        <x:f aca="0">IF(COUNT(ISCRITTI_STORICO!F$4:F$23)=20,ISCRITTI_STORICO!F16/SUM(ISCRITTI_STORICO!F$4:F$23),"")</x:f>
      </x:c>
      <x:c r="G16" s="31" t="str">
        <x:f aca="0">IF(COUNT(ISCRITTI_STORICO!G$4:G$23)=20,ISCRITTI_STORICO!G16/SUM(ISCRITTI_STORICO!G$4:G$23),"")</x:f>
      </x:c>
      <x:c r="H16" s="31" t="str">
        <x:f aca="0">IF(COUNT(ISCRITTI_STORICO!H$4:H$23)=20,ISCRITTI_STORICO!H16/SUM(ISCRITTI_STORICO!H$4:H$23),"")</x:f>
      </x:c>
      <x:c r="I16" s="31" t="str">
        <x:f aca="0">IF(COUNT(ISCRITTI_STORICO!I$4:I$23)=20,ISCRITTI_STORICO!I16/SUM(ISCRITTI_STORICO!I$4:I$23),"")</x:f>
      </x:c>
      <x:c r="J16" s="31" t="str">
        <x:f aca="0">IF(COUNT(ISCRITTI_STORICO!J$4:J$23)=20,ISCRITTI_STORICO!J16/SUM(ISCRITTI_STORICO!J$4:J$23),"")</x:f>
      </x:c>
      <x:c r="K16" s="31" t="str">
        <x:f aca="0">IF(COUNT(ISCRITTI_STORICO!K$4:K$23)=20,ISCRITTI_STORICO!K16/SUM(ISCRITTI_STORICO!K$4:K$23),"")</x:f>
      </x:c>
      <x:c r="L16" s="31" t="str">
        <x:f aca="0">IF(COUNT(ISCRITTI_STORICO!L$4:L$23)=20,ISCRITTI_STORICO!L16/SUM(ISCRITTI_STORICO!L$4:L$23),"")</x:f>
      </x:c>
      <x:c r="M16" s="31" t="str">
        <x:f aca="0">IF(COUNT(ISCRITTI_STORICO!M$4:M$23)=20,ISCRITTI_STORICO!M16/SUM(ISCRITTI_STORICO!M$4:M$23),"")</x:f>
      </x:c>
      <x:c r="N16" s="31" t="str">
        <x:f aca="0">IF(COUNT(ISCRITTI_STORICO!N$4:N$23)=20,ISCRITTI_STORICO!N16/SUM(ISCRITTI_STORICO!N$4:N$23),"")</x:f>
      </x:c>
    </x:row>
    <x:row r="17" ht="15" hidden="0" customHeight="1">
      <x:c r="A17" s="5" t="s">
        <x:v>119</x:v>
      </x:c>
      <x:c r="B17" s="31" t="n">
        <x:f aca="0">IF(COUNT(ISCRITTI_STORICO!B$4:B$23)=20,ISCRITTI_STORICO!B17/SUM(ISCRITTI_STORICO!B$4:B$23),"")</x:f>
        <x:v>0.007235261031855601</x:v>
      </x:c>
      <x:c r="C17" s="31" t="str">
        <x:f aca="0">IF(COUNT(ISCRITTI_STORICO!C$4:C$23)=20,ISCRITTI_STORICO!C17/SUM(ISCRITTI_STORICO!C$4:C$23),"")</x:f>
      </x:c>
      <x:c r="D17" s="31" t="str">
        <x:f aca="0">IF(COUNT(ISCRITTI_STORICO!D$4:D$23)=20,ISCRITTI_STORICO!D17/SUM(ISCRITTI_STORICO!D$4:D$23),"")</x:f>
      </x:c>
      <x:c r="E17" s="31" t="str">
        <x:f aca="0">IF(COUNT(ISCRITTI_STORICO!E$4:E$23)=20,ISCRITTI_STORICO!E17/SUM(ISCRITTI_STORICO!E$4:E$23),"")</x:f>
      </x:c>
      <x:c r="F17" s="31" t="str">
        <x:f aca="0">IF(COUNT(ISCRITTI_STORICO!F$4:F$23)=20,ISCRITTI_STORICO!F17/SUM(ISCRITTI_STORICO!F$4:F$23),"")</x:f>
      </x:c>
      <x:c r="G17" s="31" t="str">
        <x:f aca="0">IF(COUNT(ISCRITTI_STORICO!G$4:G$23)=20,ISCRITTI_STORICO!G17/SUM(ISCRITTI_STORICO!G$4:G$23),"")</x:f>
      </x:c>
      <x:c r="H17" s="31" t="str">
        <x:f aca="0">IF(COUNT(ISCRITTI_STORICO!H$4:H$23)=20,ISCRITTI_STORICO!H17/SUM(ISCRITTI_STORICO!H$4:H$23),"")</x:f>
      </x:c>
      <x:c r="I17" s="31" t="str">
        <x:f aca="0">IF(COUNT(ISCRITTI_STORICO!I$4:I$23)=20,ISCRITTI_STORICO!I17/SUM(ISCRITTI_STORICO!I$4:I$23),"")</x:f>
      </x:c>
      <x:c r="J17" s="31" t="str">
        <x:f aca="0">IF(COUNT(ISCRITTI_STORICO!J$4:J$23)=20,ISCRITTI_STORICO!J17/SUM(ISCRITTI_STORICO!J$4:J$23),"")</x:f>
      </x:c>
      <x:c r="K17" s="31" t="str">
        <x:f aca="0">IF(COUNT(ISCRITTI_STORICO!K$4:K$23)=20,ISCRITTI_STORICO!K17/SUM(ISCRITTI_STORICO!K$4:K$23),"")</x:f>
      </x:c>
      <x:c r="L17" s="31" t="str">
        <x:f aca="0">IF(COUNT(ISCRITTI_STORICO!L$4:L$23)=20,ISCRITTI_STORICO!L17/SUM(ISCRITTI_STORICO!L$4:L$23),"")</x:f>
      </x:c>
      <x:c r="M17" s="31" t="str">
        <x:f aca="0">IF(COUNT(ISCRITTI_STORICO!M$4:M$23)=20,ISCRITTI_STORICO!M17/SUM(ISCRITTI_STORICO!M$4:M$23),"")</x:f>
      </x:c>
      <x:c r="N17" s="31" t="str">
        <x:f aca="0">IF(COUNT(ISCRITTI_STORICO!N$4:N$23)=20,ISCRITTI_STORICO!N17/SUM(ISCRITTI_STORICO!N$4:N$23),"")</x:f>
      </x:c>
    </x:row>
    <x:row r="18" ht="15" hidden="0" customHeight="1">
      <x:c r="A18" s="5" t="s">
        <x:v>120</x:v>
      </x:c>
      <x:c r="B18" s="31" t="n">
        <x:f aca="0">IF(COUNT(ISCRITTI_STORICO!B$4:B$23)=20,ISCRITTI_STORICO!B18/SUM(ISCRITTI_STORICO!B$4:B$23),"")</x:f>
        <x:v>0.08137112031497673</x:v>
      </x:c>
      <x:c r="C18" s="31" t="str">
        <x:f aca="0">IF(COUNT(ISCRITTI_STORICO!C$4:C$23)=20,ISCRITTI_STORICO!C18/SUM(ISCRITTI_STORICO!C$4:C$23),"")</x:f>
      </x:c>
      <x:c r="D18" s="31" t="str">
        <x:f aca="0">IF(COUNT(ISCRITTI_STORICO!D$4:D$23)=20,ISCRITTI_STORICO!D18/SUM(ISCRITTI_STORICO!D$4:D$23),"")</x:f>
      </x:c>
      <x:c r="E18" s="31" t="str">
        <x:f aca="0">IF(COUNT(ISCRITTI_STORICO!E$4:E$23)=20,ISCRITTI_STORICO!E18/SUM(ISCRITTI_STORICO!E$4:E$23),"")</x:f>
      </x:c>
      <x:c r="F18" s="31" t="str">
        <x:f aca="0">IF(COUNT(ISCRITTI_STORICO!F$4:F$23)=20,ISCRITTI_STORICO!F18/SUM(ISCRITTI_STORICO!F$4:F$23),"")</x:f>
      </x:c>
      <x:c r="G18" s="31" t="str">
        <x:f aca="0">IF(COUNT(ISCRITTI_STORICO!G$4:G$23)=20,ISCRITTI_STORICO!G18/SUM(ISCRITTI_STORICO!G$4:G$23),"")</x:f>
      </x:c>
      <x:c r="H18" s="31" t="str">
        <x:f aca="0">IF(COUNT(ISCRITTI_STORICO!H$4:H$23)=20,ISCRITTI_STORICO!H18/SUM(ISCRITTI_STORICO!H$4:H$23),"")</x:f>
      </x:c>
      <x:c r="I18" s="31" t="str">
        <x:f aca="0">IF(COUNT(ISCRITTI_STORICO!I$4:I$23)=20,ISCRITTI_STORICO!I18/SUM(ISCRITTI_STORICO!I$4:I$23),"")</x:f>
      </x:c>
      <x:c r="J18" s="31" t="str">
        <x:f aca="0">IF(COUNT(ISCRITTI_STORICO!J$4:J$23)=20,ISCRITTI_STORICO!J18/SUM(ISCRITTI_STORICO!J$4:J$23),"")</x:f>
      </x:c>
      <x:c r="K18" s="31" t="str">
        <x:f aca="0">IF(COUNT(ISCRITTI_STORICO!K$4:K$23)=20,ISCRITTI_STORICO!K18/SUM(ISCRITTI_STORICO!K$4:K$23),"")</x:f>
      </x:c>
      <x:c r="L18" s="31" t="str">
        <x:f aca="0">IF(COUNT(ISCRITTI_STORICO!L$4:L$23)=20,ISCRITTI_STORICO!L18/SUM(ISCRITTI_STORICO!L$4:L$23),"")</x:f>
      </x:c>
      <x:c r="M18" s="31" t="str">
        <x:f aca="0">IF(COUNT(ISCRITTI_STORICO!M$4:M$23)=20,ISCRITTI_STORICO!M18/SUM(ISCRITTI_STORICO!M$4:M$23),"")</x:f>
      </x:c>
      <x:c r="N18" s="31" t="str">
        <x:f aca="0">IF(COUNT(ISCRITTI_STORICO!N$4:N$23)=20,ISCRITTI_STORICO!N18/SUM(ISCRITTI_STORICO!N$4:N$23),"")</x:f>
      </x:c>
    </x:row>
    <x:row r="19" ht="15" hidden="0" customHeight="1">
      <x:c r="A19" s="5" t="s">
        <x:v>121</x:v>
      </x:c>
      <x:c r="B19" s="31" t="n">
        <x:f aca="0">IF(COUNT(ISCRITTI_STORICO!B$4:B$23)=20,ISCRITTI_STORICO!B19/SUM(ISCRITTI_STORICO!B$4:B$23),"")</x:f>
        <x:v>0.08661860203507696</x:v>
      </x:c>
      <x:c r="C19" s="31" t="str">
        <x:f aca="0">IF(COUNT(ISCRITTI_STORICO!C$4:C$23)=20,ISCRITTI_STORICO!C19/SUM(ISCRITTI_STORICO!C$4:C$23),"")</x:f>
      </x:c>
      <x:c r="D19" s="31" t="str">
        <x:f aca="0">IF(COUNT(ISCRITTI_STORICO!D$4:D$23)=20,ISCRITTI_STORICO!D19/SUM(ISCRITTI_STORICO!D$4:D$23),"")</x:f>
      </x:c>
      <x:c r="E19" s="31" t="str">
        <x:f aca="0">IF(COUNT(ISCRITTI_STORICO!E$4:E$23)=20,ISCRITTI_STORICO!E19/SUM(ISCRITTI_STORICO!E$4:E$23),"")</x:f>
      </x:c>
      <x:c r="F19" s="31" t="str">
        <x:f aca="0">IF(COUNT(ISCRITTI_STORICO!F$4:F$23)=20,ISCRITTI_STORICO!F19/SUM(ISCRITTI_STORICO!F$4:F$23),"")</x:f>
      </x:c>
      <x:c r="G19" s="31" t="str">
        <x:f aca="0">IF(COUNT(ISCRITTI_STORICO!G$4:G$23)=20,ISCRITTI_STORICO!G19/SUM(ISCRITTI_STORICO!G$4:G$23),"")</x:f>
      </x:c>
      <x:c r="H19" s="31" t="str">
        <x:f aca="0">IF(COUNT(ISCRITTI_STORICO!H$4:H$23)=20,ISCRITTI_STORICO!H19/SUM(ISCRITTI_STORICO!H$4:H$23),"")</x:f>
      </x:c>
      <x:c r="I19" s="31" t="str">
        <x:f aca="0">IF(COUNT(ISCRITTI_STORICO!I$4:I$23)=20,ISCRITTI_STORICO!I19/SUM(ISCRITTI_STORICO!I$4:I$23),"")</x:f>
      </x:c>
      <x:c r="J19" s="31" t="str">
        <x:f aca="0">IF(COUNT(ISCRITTI_STORICO!J$4:J$23)=20,ISCRITTI_STORICO!J19/SUM(ISCRITTI_STORICO!J$4:J$23),"")</x:f>
      </x:c>
      <x:c r="K19" s="31" t="str">
        <x:f aca="0">IF(COUNT(ISCRITTI_STORICO!K$4:K$23)=20,ISCRITTI_STORICO!K19/SUM(ISCRITTI_STORICO!K$4:K$23),"")</x:f>
      </x:c>
      <x:c r="L19" s="31" t="str">
        <x:f aca="0">IF(COUNT(ISCRITTI_STORICO!L$4:L$23)=20,ISCRITTI_STORICO!L19/SUM(ISCRITTI_STORICO!L$4:L$23),"")</x:f>
      </x:c>
      <x:c r="M19" s="31" t="str">
        <x:f aca="0">IF(COUNT(ISCRITTI_STORICO!M$4:M$23)=20,ISCRITTI_STORICO!M19/SUM(ISCRITTI_STORICO!M$4:M$23),"")</x:f>
      </x:c>
      <x:c r="N19" s="31" t="str">
        <x:f aca="0">IF(COUNT(ISCRITTI_STORICO!N$4:N$23)=20,ISCRITTI_STORICO!N19/SUM(ISCRITTI_STORICO!N$4:N$23),"")</x:f>
      </x:c>
    </x:row>
    <x:row r="20" ht="15" hidden="0" customHeight="1">
      <x:c r="A20" s="5" t="s">
        <x:v>122</x:v>
      </x:c>
      <x:c r="B20" s="31" t="n">
        <x:f aca="0">IF(COUNT(ISCRITTI_STORICO!B$4:B$23)=20,ISCRITTI_STORICO!B20/SUM(ISCRITTI_STORICO!B$4:B$23),"")</x:f>
        <x:v>0.008289870634555403</x:v>
      </x:c>
      <x:c r="C20" s="31" t="str">
        <x:f aca="0">IF(COUNT(ISCRITTI_STORICO!C$4:C$23)=20,ISCRITTI_STORICO!C20/SUM(ISCRITTI_STORICO!C$4:C$23),"")</x:f>
      </x:c>
      <x:c r="D20" s="31" t="str">
        <x:f aca="0">IF(COUNT(ISCRITTI_STORICO!D$4:D$23)=20,ISCRITTI_STORICO!D20/SUM(ISCRITTI_STORICO!D$4:D$23),"")</x:f>
      </x:c>
      <x:c r="E20" s="31" t="str">
        <x:f aca="0">IF(COUNT(ISCRITTI_STORICO!E$4:E$23)=20,ISCRITTI_STORICO!E20/SUM(ISCRITTI_STORICO!E$4:E$23),"")</x:f>
      </x:c>
      <x:c r="F20" s="31" t="str">
        <x:f aca="0">IF(COUNT(ISCRITTI_STORICO!F$4:F$23)=20,ISCRITTI_STORICO!F20/SUM(ISCRITTI_STORICO!F$4:F$23),"")</x:f>
      </x:c>
      <x:c r="G20" s="31" t="str">
        <x:f aca="0">IF(COUNT(ISCRITTI_STORICO!G$4:G$23)=20,ISCRITTI_STORICO!G20/SUM(ISCRITTI_STORICO!G$4:G$23),"")</x:f>
      </x:c>
      <x:c r="H20" s="31" t="str">
        <x:f aca="0">IF(COUNT(ISCRITTI_STORICO!H$4:H$23)=20,ISCRITTI_STORICO!H20/SUM(ISCRITTI_STORICO!H$4:H$23),"")</x:f>
      </x:c>
      <x:c r="I20" s="31" t="str">
        <x:f aca="0">IF(COUNT(ISCRITTI_STORICO!I$4:I$23)=20,ISCRITTI_STORICO!I20/SUM(ISCRITTI_STORICO!I$4:I$23),"")</x:f>
      </x:c>
      <x:c r="J20" s="31" t="str">
        <x:f aca="0">IF(COUNT(ISCRITTI_STORICO!J$4:J$23)=20,ISCRITTI_STORICO!J20/SUM(ISCRITTI_STORICO!J$4:J$23),"")</x:f>
      </x:c>
      <x:c r="K20" s="31" t="str">
        <x:f aca="0">IF(COUNT(ISCRITTI_STORICO!K$4:K$23)=20,ISCRITTI_STORICO!K20/SUM(ISCRITTI_STORICO!K$4:K$23),"")</x:f>
      </x:c>
      <x:c r="L20" s="31" t="str">
        <x:f aca="0">IF(COUNT(ISCRITTI_STORICO!L$4:L$23)=20,ISCRITTI_STORICO!L20/SUM(ISCRITTI_STORICO!L$4:L$23),"")</x:f>
      </x:c>
      <x:c r="M20" s="31" t="str">
        <x:f aca="0">IF(COUNT(ISCRITTI_STORICO!M$4:M$23)=20,ISCRITTI_STORICO!M20/SUM(ISCRITTI_STORICO!M$4:M$23),"")</x:f>
      </x:c>
      <x:c r="N20" s="31" t="str">
        <x:f aca="0">IF(COUNT(ISCRITTI_STORICO!N$4:N$23)=20,ISCRITTI_STORICO!N20/SUM(ISCRITTI_STORICO!N$4:N$23),"")</x:f>
      </x:c>
    </x:row>
    <x:row r="21" ht="15" hidden="0" customHeight="1">
      <x:c r="A21" s="5" t="s">
        <x:v>123</x:v>
      </x:c>
      <x:c r="B21" s="31" t="n">
        <x:f aca="0">IF(COUNT(ISCRITTI_STORICO!B$4:B$23)=20,ISCRITTI_STORICO!B21/SUM(ISCRITTI_STORICO!B$4:B$23),"")</x:f>
        <x:v>0.03942961599427315</x:v>
      </x:c>
      <x:c r="C21" s="31" t="str">
        <x:f aca="0">IF(COUNT(ISCRITTI_STORICO!C$4:C$23)=20,ISCRITTI_STORICO!C21/SUM(ISCRITTI_STORICO!C$4:C$23),"")</x:f>
      </x:c>
      <x:c r="D21" s="31" t="str">
        <x:f aca="0">IF(COUNT(ISCRITTI_STORICO!D$4:D$23)=20,ISCRITTI_STORICO!D21/SUM(ISCRITTI_STORICO!D$4:D$23),"")</x:f>
      </x:c>
      <x:c r="E21" s="31" t="str">
        <x:f aca="0">IF(COUNT(ISCRITTI_STORICO!E$4:E$23)=20,ISCRITTI_STORICO!E21/SUM(ISCRITTI_STORICO!E$4:E$23),"")</x:f>
      </x:c>
      <x:c r="F21" s="31" t="str">
        <x:f aca="0">IF(COUNT(ISCRITTI_STORICO!F$4:F$23)=20,ISCRITTI_STORICO!F21/SUM(ISCRITTI_STORICO!F$4:F$23),"")</x:f>
      </x:c>
      <x:c r="G21" s="31" t="str">
        <x:f aca="0">IF(COUNT(ISCRITTI_STORICO!G$4:G$23)=20,ISCRITTI_STORICO!G21/SUM(ISCRITTI_STORICO!G$4:G$23),"")</x:f>
      </x:c>
      <x:c r="H21" s="31" t="str">
        <x:f aca="0">IF(COUNT(ISCRITTI_STORICO!H$4:H$23)=20,ISCRITTI_STORICO!H21/SUM(ISCRITTI_STORICO!H$4:H$23),"")</x:f>
      </x:c>
      <x:c r="I21" s="31" t="str">
        <x:f aca="0">IF(COUNT(ISCRITTI_STORICO!I$4:I$23)=20,ISCRITTI_STORICO!I21/SUM(ISCRITTI_STORICO!I$4:I$23),"")</x:f>
      </x:c>
      <x:c r="J21" s="31" t="str">
        <x:f aca="0">IF(COUNT(ISCRITTI_STORICO!J$4:J$23)=20,ISCRITTI_STORICO!J21/SUM(ISCRITTI_STORICO!J$4:J$23),"")</x:f>
      </x:c>
      <x:c r="K21" s="31" t="str">
        <x:f aca="0">IF(COUNT(ISCRITTI_STORICO!K$4:K$23)=20,ISCRITTI_STORICO!K21/SUM(ISCRITTI_STORICO!K$4:K$23),"")</x:f>
      </x:c>
      <x:c r="L21" s="31" t="str">
        <x:f aca="0">IF(COUNT(ISCRITTI_STORICO!L$4:L$23)=20,ISCRITTI_STORICO!L21/SUM(ISCRITTI_STORICO!L$4:L$23),"")</x:f>
      </x:c>
      <x:c r="M21" s="31" t="str">
        <x:f aca="0">IF(COUNT(ISCRITTI_STORICO!M$4:M$23)=20,ISCRITTI_STORICO!M21/SUM(ISCRITTI_STORICO!M$4:M$23),"")</x:f>
      </x:c>
      <x:c r="N21" s="31" t="str">
        <x:f aca="0">IF(COUNT(ISCRITTI_STORICO!N$4:N$23)=20,ISCRITTI_STORICO!N21/SUM(ISCRITTI_STORICO!N$4:N$23),"")</x:f>
      </x:c>
    </x:row>
    <x:row r="22" ht="15" hidden="0" customHeight="1">
      <x:c r="A22" s="5" t="s">
        <x:v>124</x:v>
      </x:c>
      <x:c r="B22" s="31" t="n">
        <x:f aca="0">IF(COUNT(ISCRITTI_STORICO!B$4:B$23)=20,ISCRITTI_STORICO!B22/SUM(ISCRITTI_STORICO!B$4:B$23),"")</x:f>
        <x:v>0.07019865009970855</x:v>
      </x:c>
      <x:c r="C22" s="31" t="str">
        <x:f aca="0">IF(COUNT(ISCRITTI_STORICO!C$4:C$23)=20,ISCRITTI_STORICO!C22/SUM(ISCRITTI_STORICO!C$4:C$23),"")</x:f>
      </x:c>
      <x:c r="D22" s="31" t="str">
        <x:f aca="0">IF(COUNT(ISCRITTI_STORICO!D$4:D$23)=20,ISCRITTI_STORICO!D22/SUM(ISCRITTI_STORICO!D$4:D$23),"")</x:f>
      </x:c>
      <x:c r="E22" s="31" t="str">
        <x:f aca="0">IF(COUNT(ISCRITTI_STORICO!E$4:E$23)=20,ISCRITTI_STORICO!E22/SUM(ISCRITTI_STORICO!E$4:E$23),"")</x:f>
      </x:c>
      <x:c r="F22" s="31" t="str">
        <x:f aca="0">IF(COUNT(ISCRITTI_STORICO!F$4:F$23)=20,ISCRITTI_STORICO!F22/SUM(ISCRITTI_STORICO!F$4:F$23),"")</x:f>
      </x:c>
      <x:c r="G22" s="31" t="str">
        <x:f aca="0">IF(COUNT(ISCRITTI_STORICO!G$4:G$23)=20,ISCRITTI_STORICO!G22/SUM(ISCRITTI_STORICO!G$4:G$23),"")</x:f>
      </x:c>
      <x:c r="H22" s="31" t="str">
        <x:f aca="0">IF(COUNT(ISCRITTI_STORICO!H$4:H$23)=20,ISCRITTI_STORICO!H22/SUM(ISCRITTI_STORICO!H$4:H$23),"")</x:f>
      </x:c>
      <x:c r="I22" s="31" t="str">
        <x:f aca="0">IF(COUNT(ISCRITTI_STORICO!I$4:I$23)=20,ISCRITTI_STORICO!I22/SUM(ISCRITTI_STORICO!I$4:I$23),"")</x:f>
      </x:c>
      <x:c r="J22" s="31" t="str">
        <x:f aca="0">IF(COUNT(ISCRITTI_STORICO!J$4:J$23)=20,ISCRITTI_STORICO!J22/SUM(ISCRITTI_STORICO!J$4:J$23),"")</x:f>
      </x:c>
      <x:c r="K22" s="31" t="str">
        <x:f aca="0">IF(COUNT(ISCRITTI_STORICO!K$4:K$23)=20,ISCRITTI_STORICO!K22/SUM(ISCRITTI_STORICO!K$4:K$23),"")</x:f>
      </x:c>
      <x:c r="L22" s="31" t="str">
        <x:f aca="0">IF(COUNT(ISCRITTI_STORICO!L$4:L$23)=20,ISCRITTI_STORICO!L22/SUM(ISCRITTI_STORICO!L$4:L$23),"")</x:f>
      </x:c>
      <x:c r="M22" s="31" t="str">
        <x:f aca="0">IF(COUNT(ISCRITTI_STORICO!M$4:M$23)=20,ISCRITTI_STORICO!M22/SUM(ISCRITTI_STORICO!M$4:M$23),"")</x:f>
      </x:c>
      <x:c r="N22" s="31" t="str">
        <x:f aca="0">IF(COUNT(ISCRITTI_STORICO!N$4:N$23)=20,ISCRITTI_STORICO!N22/SUM(ISCRITTI_STORICO!N$4:N$23),"")</x:f>
      </x:c>
    </x:row>
    <x:row r="23" ht="15" hidden="0" customHeight="1">
      <x:c r="A23" s="5" t="s">
        <x:v>125</x:v>
      </x:c>
      <x:c r="B23" s="31" t="n">
        <x:f aca="0">IF(COUNT(ISCRITTI_STORICO!B$4:B$23)=20,ISCRITTI_STORICO!B23/SUM(ISCRITTI_STORICO!B$4:B$23),"")</x:f>
        <x:v>0.0325714577900496</x:v>
      </x:c>
      <x:c r="C23" s="31" t="str">
        <x:f aca="0">IF(COUNT(ISCRITTI_STORICO!C$4:C$23)=20,ISCRITTI_STORICO!C23/SUM(ISCRITTI_STORICO!C$4:C$23),"")</x:f>
      </x:c>
      <x:c r="D23" s="31" t="str">
        <x:f aca="0">IF(COUNT(ISCRITTI_STORICO!D$4:D$23)=20,ISCRITTI_STORICO!D23/SUM(ISCRITTI_STORICO!D$4:D$23),"")</x:f>
      </x:c>
      <x:c r="E23" s="31" t="str">
        <x:f aca="0">IF(COUNT(ISCRITTI_STORICO!E$4:E$23)=20,ISCRITTI_STORICO!E23/SUM(ISCRITTI_STORICO!E$4:E$23),"")</x:f>
      </x:c>
      <x:c r="F23" s="31" t="str">
        <x:f aca="0">IF(COUNT(ISCRITTI_STORICO!F$4:F$23)=20,ISCRITTI_STORICO!F23/SUM(ISCRITTI_STORICO!F$4:F$23),"")</x:f>
      </x:c>
      <x:c r="G23" s="31" t="str">
        <x:f aca="0">IF(COUNT(ISCRITTI_STORICO!G$4:G$23)=20,ISCRITTI_STORICO!G23/SUM(ISCRITTI_STORICO!G$4:G$23),"")</x:f>
      </x:c>
      <x:c r="H23" s="31" t="str">
        <x:f aca="0">IF(COUNT(ISCRITTI_STORICO!H$4:H$23)=20,ISCRITTI_STORICO!H23/SUM(ISCRITTI_STORICO!H$4:H$23),"")</x:f>
      </x:c>
      <x:c r="I23" s="31" t="str">
        <x:f aca="0">IF(COUNT(ISCRITTI_STORICO!I$4:I$23)=20,ISCRITTI_STORICO!I23/SUM(ISCRITTI_STORICO!I$4:I$23),"")</x:f>
      </x:c>
      <x:c r="J23" s="31" t="str">
        <x:f aca="0">IF(COUNT(ISCRITTI_STORICO!J$4:J$23)=20,ISCRITTI_STORICO!J23/SUM(ISCRITTI_STORICO!J$4:J$23),"")</x:f>
      </x:c>
      <x:c r="K23" s="31" t="str">
        <x:f aca="0">IF(COUNT(ISCRITTI_STORICO!K$4:K$23)=20,ISCRITTI_STORICO!K23/SUM(ISCRITTI_STORICO!K$4:K$23),"")</x:f>
      </x:c>
      <x:c r="L23" s="31" t="str">
        <x:f aca="0">IF(COUNT(ISCRITTI_STORICO!L$4:L$23)=20,ISCRITTI_STORICO!L23/SUM(ISCRITTI_STORICO!L$4:L$23),"")</x:f>
      </x:c>
      <x:c r="M23" s="31" t="str">
        <x:f aca="0">IF(COUNT(ISCRITTI_STORICO!M$4:M$23)=20,ISCRITTI_STORICO!M23/SUM(ISCRITTI_STORICO!M$4:M$23),"")</x:f>
      </x:c>
      <x:c r="N23" s="31" t="str">
        <x:f aca="0">IF(COUNT(ISCRITTI_STORICO!N$4:N$23)=20,ISCRITTI_STORICO!N23/SUM(ISCRITTI_STORICO!N$4:N$23),"")</x:f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ColWidth="8.6796875" defaultRowHeight="15"/>
  <x:cols>
    <x:col min="1" max="1" width="26" style="5" hidden="0" customWidth="1"/>
    <x:col min="2" max="14" width="15" style="5" hidden="0" customWidth="1"/>
  </x:cols>
  <x:sheetData>
    <x:row r="1" ht="36" hidden="0" customHeight="1">
      <x:c r="A1" s="6" t="s">
        <x:v>198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4.75" hidden="0" customHeight="1">
      <x:c r="A2" s="7" t="s">
        <x:v>199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3.75" hidden="0" customHeight="1">
      <x:c r="A3" s="8" t="s">
        <x:v>87</x:v>
      </x:c>
      <x:c r="B3" s="8" t="s">
        <x:v>183</x:v>
      </x:c>
      <x:c r="C3" s="8" t="s">
        <x:v>184</x:v>
      </x:c>
      <x:c r="D3" s="8" t="s">
        <x:v>185</x:v>
      </x:c>
      <x:c r="E3" s="8" t="s">
        <x:v>186</x:v>
      </x:c>
      <x:c r="F3" s="8" t="s">
        <x:v>187</x:v>
      </x:c>
      <x:c r="G3" s="8" t="s">
        <x:v>188</x:v>
      </x:c>
      <x:c r="H3" s="8" t="s">
        <x:v>189</x:v>
      </x:c>
      <x:c r="I3" s="8" t="s">
        <x:v>190</x:v>
      </x:c>
      <x:c r="J3" s="8" t="s">
        <x:v>191</x:v>
      </x:c>
      <x:c r="K3" s="8" t="s">
        <x:v>192</x:v>
      </x:c>
      <x:c r="L3" s="8" t="s">
        <x:v>193</x:v>
      </x:c>
      <x:c r="M3" s="8" t="s">
        <x:v>194</x:v>
      </x:c>
      <x:c r="N3" s="8" t="s">
        <x:v>195</x:v>
      </x:c>
    </x:row>
    <x:row r="4" ht="15" hidden="0" customHeight="1">
      <x:c r="A4" s="5" t="s">
        <x:v>103</x:v>
      </x:c>
      <x:c r="B4" s="5" t="n">
        <x:f aca="0">IF(QUOTE_STORICO!B4="","",IF(QUOTE_STORICO!B4&gt;0,-QUOTE_STORICO!B4*LN(QUOTE_STORICO!B4),0))</x:f>
        <x:v>0.19194655616329798</x:v>
      </x:c>
      <x:c r="C4" s="5" t="str">
        <x:f aca="0">IF(QUOTE_STORICO!C4="","",IF(QUOTE_STORICO!C4&gt;0,-QUOTE_STORICO!C4*LN(QUOTE_STORICO!C4),0))</x:f>
      </x:c>
      <x:c r="D4" s="5" t="str">
        <x:f aca="0">IF(QUOTE_STORICO!D4="","",IF(QUOTE_STORICO!D4&gt;0,-QUOTE_STORICO!D4*LN(QUOTE_STORICO!D4),0))</x:f>
      </x:c>
      <x:c r="E4" s="5" t="str">
        <x:f aca="0">IF(QUOTE_STORICO!E4="","",IF(QUOTE_STORICO!E4&gt;0,-QUOTE_STORICO!E4*LN(QUOTE_STORICO!E4),0))</x:f>
      </x:c>
      <x:c r="F4" s="5" t="str">
        <x:f aca="0">IF(QUOTE_STORICO!F4="","",IF(QUOTE_STORICO!F4&gt;0,-QUOTE_STORICO!F4*LN(QUOTE_STORICO!F4),0))</x:f>
      </x:c>
      <x:c r="G4" s="5" t="str">
        <x:f aca="0">IF(QUOTE_STORICO!G4="","",IF(QUOTE_STORICO!G4&gt;0,-QUOTE_STORICO!G4*LN(QUOTE_STORICO!G4),0))</x:f>
      </x:c>
      <x:c r="H4" s="5" t="str">
        <x:f aca="0">IF(QUOTE_STORICO!H4="","",IF(QUOTE_STORICO!H4&gt;0,-QUOTE_STORICO!H4*LN(QUOTE_STORICO!H4),0))</x:f>
      </x:c>
      <x:c r="I4" s="5" t="str">
        <x:f aca="0">IF(QUOTE_STORICO!I4="","",IF(QUOTE_STORICO!I4&gt;0,-QUOTE_STORICO!I4*LN(QUOTE_STORICO!I4),0))</x:f>
      </x:c>
      <x:c r="J4" s="5" t="str">
        <x:f aca="0">IF(QUOTE_STORICO!J4="","",IF(QUOTE_STORICO!J4&gt;0,-QUOTE_STORICO!J4*LN(QUOTE_STORICO!J4),0))</x:f>
      </x:c>
      <x:c r="K4" s="5" t="str">
        <x:f aca="0">IF(QUOTE_STORICO!K4="","",IF(QUOTE_STORICO!K4&gt;0,-QUOTE_STORICO!K4*LN(QUOTE_STORICO!K4),0))</x:f>
      </x:c>
      <x:c r="L4" s="5" t="str">
        <x:f aca="0">IF(QUOTE_STORICO!L4="","",IF(QUOTE_STORICO!L4&gt;0,-QUOTE_STORICO!L4*LN(QUOTE_STORICO!L4),0))</x:f>
      </x:c>
      <x:c r="M4" s="5" t="str">
        <x:f aca="0">IF(QUOTE_STORICO!M4="","",IF(QUOTE_STORICO!M4&gt;0,-QUOTE_STORICO!M4*LN(QUOTE_STORICO!M4),0))</x:f>
      </x:c>
      <x:c r="N4" s="5" t="str">
        <x:f aca="0">IF(QUOTE_STORICO!N4="","",IF(QUOTE_STORICO!N4&gt;0,-QUOTE_STORICO!N4*LN(QUOTE_STORICO!N4),0))</x:f>
      </x:c>
    </x:row>
    <x:row r="5" ht="15" hidden="0" customHeight="1">
      <x:c r="A5" s="5" t="s">
        <x:v>106</x:v>
      </x:c>
      <x:c r="B5" s="5" t="n">
        <x:f aca="0">IF(QUOTE_STORICO!B5="","",IF(QUOTE_STORICO!B5&gt;0,-QUOTE_STORICO!B5*LN(QUOTE_STORICO!B5),0))</x:f>
        <x:v>0.009055752385949639</x:v>
      </x:c>
      <x:c r="C5" s="5" t="str">
        <x:f aca="0">IF(QUOTE_STORICO!C5="","",IF(QUOTE_STORICO!C5&gt;0,-QUOTE_STORICO!C5*LN(QUOTE_STORICO!C5),0))</x:f>
      </x:c>
      <x:c r="D5" s="5" t="str">
        <x:f aca="0">IF(QUOTE_STORICO!D5="","",IF(QUOTE_STORICO!D5&gt;0,-QUOTE_STORICO!D5*LN(QUOTE_STORICO!D5),0))</x:f>
      </x:c>
      <x:c r="E5" s="5" t="str">
        <x:f aca="0">IF(QUOTE_STORICO!E5="","",IF(QUOTE_STORICO!E5&gt;0,-QUOTE_STORICO!E5*LN(QUOTE_STORICO!E5),0))</x:f>
      </x:c>
      <x:c r="F5" s="5" t="str">
        <x:f aca="0">IF(QUOTE_STORICO!F5="","",IF(QUOTE_STORICO!F5&gt;0,-QUOTE_STORICO!F5*LN(QUOTE_STORICO!F5),0))</x:f>
      </x:c>
      <x:c r="G5" s="5" t="str">
        <x:f aca="0">IF(QUOTE_STORICO!G5="","",IF(QUOTE_STORICO!G5&gt;0,-QUOTE_STORICO!G5*LN(QUOTE_STORICO!G5),0))</x:f>
      </x:c>
      <x:c r="H5" s="5" t="str">
        <x:f aca="0">IF(QUOTE_STORICO!H5="","",IF(QUOTE_STORICO!H5&gt;0,-QUOTE_STORICO!H5*LN(QUOTE_STORICO!H5),0))</x:f>
      </x:c>
      <x:c r="I5" s="5" t="str">
        <x:f aca="0">IF(QUOTE_STORICO!I5="","",IF(QUOTE_STORICO!I5&gt;0,-QUOTE_STORICO!I5*LN(QUOTE_STORICO!I5),0))</x:f>
      </x:c>
      <x:c r="J5" s="5" t="str">
        <x:f aca="0">IF(QUOTE_STORICO!J5="","",IF(QUOTE_STORICO!J5&gt;0,-QUOTE_STORICO!J5*LN(QUOTE_STORICO!J5),0))</x:f>
      </x:c>
      <x:c r="K5" s="5" t="str">
        <x:f aca="0">IF(QUOTE_STORICO!K5="","",IF(QUOTE_STORICO!K5&gt;0,-QUOTE_STORICO!K5*LN(QUOTE_STORICO!K5),0))</x:f>
      </x:c>
      <x:c r="L5" s="5" t="str">
        <x:f aca="0">IF(QUOTE_STORICO!L5="","",IF(QUOTE_STORICO!L5&gt;0,-QUOTE_STORICO!L5*LN(QUOTE_STORICO!L5),0))</x:f>
      </x:c>
      <x:c r="M5" s="5" t="str">
        <x:f aca="0">IF(QUOTE_STORICO!M5="","",IF(QUOTE_STORICO!M5&gt;0,-QUOTE_STORICO!M5*LN(QUOTE_STORICO!M5),0))</x:f>
      </x:c>
      <x:c r="N5" s="5" t="str">
        <x:f aca="0">IF(QUOTE_STORICO!N5="","",IF(QUOTE_STORICO!N5&gt;0,-QUOTE_STORICO!N5*LN(QUOTE_STORICO!N5),0))</x:f>
      </x:c>
    </x:row>
    <x:row r="6" ht="15" hidden="0" customHeight="1">
      <x:c r="A6" s="5" t="s">
        <x:v>107</x:v>
      </x:c>
      <x:c r="B6" s="5" t="n">
        <x:f aca="0">IF(QUOTE_STORICO!B6="","",IF(QUOTE_STORICO!B6&gt;0,-QUOTE_STORICO!B6*LN(QUOTE_STORICO!B6),0))</x:f>
        <x:v>0.10933764935943079</x:v>
      </x:c>
      <x:c r="C6" s="5" t="str">
        <x:f aca="0">IF(QUOTE_STORICO!C6="","",IF(QUOTE_STORICO!C6&gt;0,-QUOTE_STORICO!C6*LN(QUOTE_STORICO!C6),0))</x:f>
      </x:c>
      <x:c r="D6" s="5" t="str">
        <x:f aca="0">IF(QUOTE_STORICO!D6="","",IF(QUOTE_STORICO!D6&gt;0,-QUOTE_STORICO!D6*LN(QUOTE_STORICO!D6),0))</x:f>
      </x:c>
      <x:c r="E6" s="5" t="str">
        <x:f aca="0">IF(QUOTE_STORICO!E6="","",IF(QUOTE_STORICO!E6&gt;0,-QUOTE_STORICO!E6*LN(QUOTE_STORICO!E6),0))</x:f>
      </x:c>
      <x:c r="F6" s="5" t="str">
        <x:f aca="0">IF(QUOTE_STORICO!F6="","",IF(QUOTE_STORICO!F6&gt;0,-QUOTE_STORICO!F6*LN(QUOTE_STORICO!F6),0))</x:f>
      </x:c>
      <x:c r="G6" s="5" t="str">
        <x:f aca="0">IF(QUOTE_STORICO!G6="","",IF(QUOTE_STORICO!G6&gt;0,-QUOTE_STORICO!G6*LN(QUOTE_STORICO!G6),0))</x:f>
      </x:c>
      <x:c r="H6" s="5" t="str">
        <x:f aca="0">IF(QUOTE_STORICO!H6="","",IF(QUOTE_STORICO!H6&gt;0,-QUOTE_STORICO!H6*LN(QUOTE_STORICO!H6),0))</x:f>
      </x:c>
      <x:c r="I6" s="5" t="str">
        <x:f aca="0">IF(QUOTE_STORICO!I6="","",IF(QUOTE_STORICO!I6&gt;0,-QUOTE_STORICO!I6*LN(QUOTE_STORICO!I6),0))</x:f>
      </x:c>
      <x:c r="J6" s="5" t="str">
        <x:f aca="0">IF(QUOTE_STORICO!J6="","",IF(QUOTE_STORICO!J6&gt;0,-QUOTE_STORICO!J6*LN(QUOTE_STORICO!J6),0))</x:f>
      </x:c>
      <x:c r="K6" s="5" t="str">
        <x:f aca="0">IF(QUOTE_STORICO!K6="","",IF(QUOTE_STORICO!K6&gt;0,-QUOTE_STORICO!K6*LN(QUOTE_STORICO!K6),0))</x:f>
      </x:c>
      <x:c r="L6" s="5" t="str">
        <x:f aca="0">IF(QUOTE_STORICO!L6="","",IF(QUOTE_STORICO!L6&gt;0,-QUOTE_STORICO!L6*LN(QUOTE_STORICO!L6),0))</x:f>
      </x:c>
      <x:c r="M6" s="5" t="str">
        <x:f aca="0">IF(QUOTE_STORICO!M6="","",IF(QUOTE_STORICO!M6&gt;0,-QUOTE_STORICO!M6*LN(QUOTE_STORICO!M6),0))</x:f>
      </x:c>
      <x:c r="N6" s="5" t="str">
        <x:f aca="0">IF(QUOTE_STORICO!N6="","",IF(QUOTE_STORICO!N6&gt;0,-QUOTE_STORICO!N6*LN(QUOTE_STORICO!N6),0))</x:f>
      </x:c>
    </x:row>
    <x:row r="7" ht="15" hidden="0" customHeight="1">
      <x:c r="A7" s="5" t="s">
        <x:v>108</x:v>
      </x:c>
      <x:c r="B7" s="5" t="n">
        <x:f aca="0">IF(QUOTE_STORICO!B7="","",IF(QUOTE_STORICO!B7&gt;0,-QUOTE_STORICO!B7*LN(QUOTE_STORICO!B7),0))</x:f>
        <x:v>0.2858490084603685</x:v>
      </x:c>
      <x:c r="C7" s="5" t="str">
        <x:f aca="0">IF(QUOTE_STORICO!C7="","",IF(QUOTE_STORICO!C7&gt;0,-QUOTE_STORICO!C7*LN(QUOTE_STORICO!C7),0))</x:f>
      </x:c>
      <x:c r="D7" s="5" t="str">
        <x:f aca="0">IF(QUOTE_STORICO!D7="","",IF(QUOTE_STORICO!D7&gt;0,-QUOTE_STORICO!D7*LN(QUOTE_STORICO!D7),0))</x:f>
      </x:c>
      <x:c r="E7" s="5" t="str">
        <x:f aca="0">IF(QUOTE_STORICO!E7="","",IF(QUOTE_STORICO!E7&gt;0,-QUOTE_STORICO!E7*LN(QUOTE_STORICO!E7),0))</x:f>
      </x:c>
      <x:c r="F7" s="5" t="str">
        <x:f aca="0">IF(QUOTE_STORICO!F7="","",IF(QUOTE_STORICO!F7&gt;0,-QUOTE_STORICO!F7*LN(QUOTE_STORICO!F7),0))</x:f>
      </x:c>
      <x:c r="G7" s="5" t="str">
        <x:f aca="0">IF(QUOTE_STORICO!G7="","",IF(QUOTE_STORICO!G7&gt;0,-QUOTE_STORICO!G7*LN(QUOTE_STORICO!G7),0))</x:f>
      </x:c>
      <x:c r="H7" s="5" t="str">
        <x:f aca="0">IF(QUOTE_STORICO!H7="","",IF(QUOTE_STORICO!H7&gt;0,-QUOTE_STORICO!H7*LN(QUOTE_STORICO!H7),0))</x:f>
      </x:c>
      <x:c r="I7" s="5" t="str">
        <x:f aca="0">IF(QUOTE_STORICO!I7="","",IF(QUOTE_STORICO!I7&gt;0,-QUOTE_STORICO!I7*LN(QUOTE_STORICO!I7),0))</x:f>
      </x:c>
      <x:c r="J7" s="5" t="str">
        <x:f aca="0">IF(QUOTE_STORICO!J7="","",IF(QUOTE_STORICO!J7&gt;0,-QUOTE_STORICO!J7*LN(QUOTE_STORICO!J7),0))</x:f>
      </x:c>
      <x:c r="K7" s="5" t="str">
        <x:f aca="0">IF(QUOTE_STORICO!K7="","",IF(QUOTE_STORICO!K7&gt;0,-QUOTE_STORICO!K7*LN(QUOTE_STORICO!K7),0))</x:f>
      </x:c>
      <x:c r="L7" s="5" t="str">
        <x:f aca="0">IF(QUOTE_STORICO!L7="","",IF(QUOTE_STORICO!L7&gt;0,-QUOTE_STORICO!L7*LN(QUOTE_STORICO!L7),0))</x:f>
      </x:c>
      <x:c r="M7" s="5" t="str">
        <x:f aca="0">IF(QUOTE_STORICO!M7="","",IF(QUOTE_STORICO!M7&gt;0,-QUOTE_STORICO!M7*LN(QUOTE_STORICO!M7),0))</x:f>
      </x:c>
      <x:c r="N7" s="5" t="str">
        <x:f aca="0">IF(QUOTE_STORICO!N7="","",IF(QUOTE_STORICO!N7&gt;0,-QUOTE_STORICO!N7*LN(QUOTE_STORICO!N7),0))</x:f>
      </x:c>
    </x:row>
    <x:row r="8" ht="15" hidden="0" customHeight="1">
      <x:c r="A8" s="5" t="s">
        <x:v>110</x:v>
      </x:c>
      <x:c r="B8" s="5" t="n">
        <x:f aca="0">IF(QUOTE_STORICO!B8="","",IF(QUOTE_STORICO!B8&gt;0,-QUOTE_STORICO!B8*LN(QUOTE_STORICO!B8),0))</x:f>
        <x:v>0.05306385704390741</x:v>
      </x:c>
      <x:c r="C8" s="5" t="str">
        <x:f aca="0">IF(QUOTE_STORICO!C8="","",IF(QUOTE_STORICO!C8&gt;0,-QUOTE_STORICO!C8*LN(QUOTE_STORICO!C8),0))</x:f>
      </x:c>
      <x:c r="D8" s="5" t="str">
        <x:f aca="0">IF(QUOTE_STORICO!D8="","",IF(QUOTE_STORICO!D8&gt;0,-QUOTE_STORICO!D8*LN(QUOTE_STORICO!D8),0))</x:f>
      </x:c>
      <x:c r="E8" s="5" t="str">
        <x:f aca="0">IF(QUOTE_STORICO!E8="","",IF(QUOTE_STORICO!E8&gt;0,-QUOTE_STORICO!E8*LN(QUOTE_STORICO!E8),0))</x:f>
      </x:c>
      <x:c r="F8" s="5" t="str">
        <x:f aca="0">IF(QUOTE_STORICO!F8="","",IF(QUOTE_STORICO!F8&gt;0,-QUOTE_STORICO!F8*LN(QUOTE_STORICO!F8),0))</x:f>
      </x:c>
      <x:c r="G8" s="5" t="str">
        <x:f aca="0">IF(QUOTE_STORICO!G8="","",IF(QUOTE_STORICO!G8&gt;0,-QUOTE_STORICO!G8*LN(QUOTE_STORICO!G8),0))</x:f>
      </x:c>
      <x:c r="H8" s="5" t="str">
        <x:f aca="0">IF(QUOTE_STORICO!H8="","",IF(QUOTE_STORICO!H8&gt;0,-QUOTE_STORICO!H8*LN(QUOTE_STORICO!H8),0))</x:f>
      </x:c>
      <x:c r="I8" s="5" t="str">
        <x:f aca="0">IF(QUOTE_STORICO!I8="","",IF(QUOTE_STORICO!I8&gt;0,-QUOTE_STORICO!I8*LN(QUOTE_STORICO!I8),0))</x:f>
      </x:c>
      <x:c r="J8" s="5" t="str">
        <x:f aca="0">IF(QUOTE_STORICO!J8="","",IF(QUOTE_STORICO!J8&gt;0,-QUOTE_STORICO!J8*LN(QUOTE_STORICO!J8),0))</x:f>
      </x:c>
      <x:c r="K8" s="5" t="str">
        <x:f aca="0">IF(QUOTE_STORICO!K8="","",IF(QUOTE_STORICO!K8&gt;0,-QUOTE_STORICO!K8*LN(QUOTE_STORICO!K8),0))</x:f>
      </x:c>
      <x:c r="L8" s="5" t="str">
        <x:f aca="0">IF(QUOTE_STORICO!L8="","",IF(QUOTE_STORICO!L8&gt;0,-QUOTE_STORICO!L8*LN(QUOTE_STORICO!L8),0))</x:f>
      </x:c>
      <x:c r="M8" s="5" t="str">
        <x:f aca="0">IF(QUOTE_STORICO!M8="","",IF(QUOTE_STORICO!M8&gt;0,-QUOTE_STORICO!M8*LN(QUOTE_STORICO!M8),0))</x:f>
      </x:c>
      <x:c r="N8" s="5" t="str">
        <x:f aca="0">IF(QUOTE_STORICO!N8="","",IF(QUOTE_STORICO!N8&gt;0,-QUOTE_STORICO!N8*LN(QUOTE_STORICO!N8),0))</x:f>
      </x:c>
    </x:row>
    <x:row r="9" ht="15" hidden="0" customHeight="1">
      <x:c r="A9" s="5" t="s">
        <x:v>111</x:v>
      </x:c>
      <x:c r="B9" s="5" t="n">
        <x:f aca="0">IF(QUOTE_STORICO!B9="","",IF(QUOTE_STORICO!B9&gt;0,-QUOTE_STORICO!B9*LN(QUOTE_STORICO!B9),0))</x:f>
        <x:v>0.23274119427714732</x:v>
      </x:c>
      <x:c r="C9" s="5" t="str">
        <x:f aca="0">IF(QUOTE_STORICO!C9="","",IF(QUOTE_STORICO!C9&gt;0,-QUOTE_STORICO!C9*LN(QUOTE_STORICO!C9),0))</x:f>
      </x:c>
      <x:c r="D9" s="5" t="str">
        <x:f aca="0">IF(QUOTE_STORICO!D9="","",IF(QUOTE_STORICO!D9&gt;0,-QUOTE_STORICO!D9*LN(QUOTE_STORICO!D9),0))</x:f>
      </x:c>
      <x:c r="E9" s="5" t="str">
        <x:f aca="0">IF(QUOTE_STORICO!E9="","",IF(QUOTE_STORICO!E9&gt;0,-QUOTE_STORICO!E9*LN(QUOTE_STORICO!E9),0))</x:f>
      </x:c>
      <x:c r="F9" s="5" t="str">
        <x:f aca="0">IF(QUOTE_STORICO!F9="","",IF(QUOTE_STORICO!F9&gt;0,-QUOTE_STORICO!F9*LN(QUOTE_STORICO!F9),0))</x:f>
      </x:c>
      <x:c r="G9" s="5" t="str">
        <x:f aca="0">IF(QUOTE_STORICO!G9="","",IF(QUOTE_STORICO!G9&gt;0,-QUOTE_STORICO!G9*LN(QUOTE_STORICO!G9),0))</x:f>
      </x:c>
      <x:c r="H9" s="5" t="str">
        <x:f aca="0">IF(QUOTE_STORICO!H9="","",IF(QUOTE_STORICO!H9&gt;0,-QUOTE_STORICO!H9*LN(QUOTE_STORICO!H9),0))</x:f>
      </x:c>
      <x:c r="I9" s="5" t="str">
        <x:f aca="0">IF(QUOTE_STORICO!I9="","",IF(QUOTE_STORICO!I9&gt;0,-QUOTE_STORICO!I9*LN(QUOTE_STORICO!I9),0))</x:f>
      </x:c>
      <x:c r="J9" s="5" t="str">
        <x:f aca="0">IF(QUOTE_STORICO!J9="","",IF(QUOTE_STORICO!J9&gt;0,-QUOTE_STORICO!J9*LN(QUOTE_STORICO!J9),0))</x:f>
      </x:c>
      <x:c r="K9" s="5" t="str">
        <x:f aca="0">IF(QUOTE_STORICO!K9="","",IF(QUOTE_STORICO!K9&gt;0,-QUOTE_STORICO!K9*LN(QUOTE_STORICO!K9),0))</x:f>
      </x:c>
      <x:c r="L9" s="5" t="str">
        <x:f aca="0">IF(QUOTE_STORICO!L9="","",IF(QUOTE_STORICO!L9&gt;0,-QUOTE_STORICO!L9*LN(QUOTE_STORICO!L9),0))</x:f>
      </x:c>
      <x:c r="M9" s="5" t="str">
        <x:f aca="0">IF(QUOTE_STORICO!M9="","",IF(QUOTE_STORICO!M9&gt;0,-QUOTE_STORICO!M9*LN(QUOTE_STORICO!M9),0))</x:f>
      </x:c>
      <x:c r="N9" s="5" t="str">
        <x:f aca="0">IF(QUOTE_STORICO!N9="","",IF(QUOTE_STORICO!N9&gt;0,-QUOTE_STORICO!N9*LN(QUOTE_STORICO!N9),0))</x:f>
      </x:c>
    </x:row>
    <x:row r="10" ht="15" hidden="0" customHeight="1">
      <x:c r="A10" s="5" t="s">
        <x:v>112</x:v>
      </x:c>
      <x:c r="B10" s="5" t="n">
        <x:f aca="0">IF(QUOTE_STORICO!B10="","",IF(QUOTE_STORICO!B10&gt;0,-QUOTE_STORICO!B10*LN(QUOTE_STORICO!B10),0))</x:f>
        <x:v>0.08963589906661361</x:v>
      </x:c>
      <x:c r="C10" s="5" t="str">
        <x:f aca="0">IF(QUOTE_STORICO!C10="","",IF(QUOTE_STORICO!C10&gt;0,-QUOTE_STORICO!C10*LN(QUOTE_STORICO!C10),0))</x:f>
      </x:c>
      <x:c r="D10" s="5" t="str">
        <x:f aca="0">IF(QUOTE_STORICO!D10="","",IF(QUOTE_STORICO!D10&gt;0,-QUOTE_STORICO!D10*LN(QUOTE_STORICO!D10),0))</x:f>
      </x:c>
      <x:c r="E10" s="5" t="str">
        <x:f aca="0">IF(QUOTE_STORICO!E10="","",IF(QUOTE_STORICO!E10&gt;0,-QUOTE_STORICO!E10*LN(QUOTE_STORICO!E10),0))</x:f>
      </x:c>
      <x:c r="F10" s="5" t="str">
        <x:f aca="0">IF(QUOTE_STORICO!F10="","",IF(QUOTE_STORICO!F10&gt;0,-QUOTE_STORICO!F10*LN(QUOTE_STORICO!F10),0))</x:f>
      </x:c>
      <x:c r="G10" s="5" t="str">
        <x:f aca="0">IF(QUOTE_STORICO!G10="","",IF(QUOTE_STORICO!G10&gt;0,-QUOTE_STORICO!G10*LN(QUOTE_STORICO!G10),0))</x:f>
      </x:c>
      <x:c r="H10" s="5" t="str">
        <x:f aca="0">IF(QUOTE_STORICO!H10="","",IF(QUOTE_STORICO!H10&gt;0,-QUOTE_STORICO!H10*LN(QUOTE_STORICO!H10),0))</x:f>
      </x:c>
      <x:c r="I10" s="5" t="str">
        <x:f aca="0">IF(QUOTE_STORICO!I10="","",IF(QUOTE_STORICO!I10&gt;0,-QUOTE_STORICO!I10*LN(QUOTE_STORICO!I10),0))</x:f>
      </x:c>
      <x:c r="J10" s="5" t="str">
        <x:f aca="0">IF(QUOTE_STORICO!J10="","",IF(QUOTE_STORICO!J10&gt;0,-QUOTE_STORICO!J10*LN(QUOTE_STORICO!J10),0))</x:f>
      </x:c>
      <x:c r="K10" s="5" t="str">
        <x:f aca="0">IF(QUOTE_STORICO!K10="","",IF(QUOTE_STORICO!K10&gt;0,-QUOTE_STORICO!K10*LN(QUOTE_STORICO!K10),0))</x:f>
      </x:c>
      <x:c r="L10" s="5" t="str">
        <x:f aca="0">IF(QUOTE_STORICO!L10="","",IF(QUOTE_STORICO!L10&gt;0,-QUOTE_STORICO!L10*LN(QUOTE_STORICO!L10),0))</x:f>
      </x:c>
      <x:c r="M10" s="5" t="str">
        <x:f aca="0">IF(QUOTE_STORICO!M10="","",IF(QUOTE_STORICO!M10&gt;0,-QUOTE_STORICO!M10*LN(QUOTE_STORICO!M10),0))</x:f>
      </x:c>
      <x:c r="N10" s="5" t="str">
        <x:f aca="0">IF(QUOTE_STORICO!N10="","",IF(QUOTE_STORICO!N10&gt;0,-QUOTE_STORICO!N10*LN(QUOTE_STORICO!N10),0))</x:f>
      </x:c>
    </x:row>
    <x:row r="11" ht="15" hidden="0" customHeight="1">
      <x:c r="A11" s="5" t="s">
        <x:v>113</x:v>
      </x:c>
      <x:c r="B11" s="5" t="n">
        <x:f aca="0">IF(QUOTE_STORICO!B11="","",IF(QUOTE_STORICO!B11&gt;0,-QUOTE_STORICO!B11*LN(QUOTE_STORICO!B11),0))</x:f>
        <x:v>0.16900899439867323</x:v>
      </x:c>
      <x:c r="C11" s="5" t="str">
        <x:f aca="0">IF(QUOTE_STORICO!C11="","",IF(QUOTE_STORICO!C11&gt;0,-QUOTE_STORICO!C11*LN(QUOTE_STORICO!C11),0))</x:f>
      </x:c>
      <x:c r="D11" s="5" t="str">
        <x:f aca="0">IF(QUOTE_STORICO!D11="","",IF(QUOTE_STORICO!D11&gt;0,-QUOTE_STORICO!D11*LN(QUOTE_STORICO!D11),0))</x:f>
      </x:c>
      <x:c r="E11" s="5" t="str">
        <x:f aca="0">IF(QUOTE_STORICO!E11="","",IF(QUOTE_STORICO!E11&gt;0,-QUOTE_STORICO!E11*LN(QUOTE_STORICO!E11),0))</x:f>
      </x:c>
      <x:c r="F11" s="5" t="str">
        <x:f aca="0">IF(QUOTE_STORICO!F11="","",IF(QUOTE_STORICO!F11&gt;0,-QUOTE_STORICO!F11*LN(QUOTE_STORICO!F11),0))</x:f>
      </x:c>
      <x:c r="G11" s="5" t="str">
        <x:f aca="0">IF(QUOTE_STORICO!G11="","",IF(QUOTE_STORICO!G11&gt;0,-QUOTE_STORICO!G11*LN(QUOTE_STORICO!G11),0))</x:f>
      </x:c>
      <x:c r="H11" s="5" t="str">
        <x:f aca="0">IF(QUOTE_STORICO!H11="","",IF(QUOTE_STORICO!H11&gt;0,-QUOTE_STORICO!H11*LN(QUOTE_STORICO!H11),0))</x:f>
      </x:c>
      <x:c r="I11" s="5" t="str">
        <x:f aca="0">IF(QUOTE_STORICO!I11="","",IF(QUOTE_STORICO!I11&gt;0,-QUOTE_STORICO!I11*LN(QUOTE_STORICO!I11),0))</x:f>
      </x:c>
      <x:c r="J11" s="5" t="str">
        <x:f aca="0">IF(QUOTE_STORICO!J11="","",IF(QUOTE_STORICO!J11&gt;0,-QUOTE_STORICO!J11*LN(QUOTE_STORICO!J11),0))</x:f>
      </x:c>
      <x:c r="K11" s="5" t="str">
        <x:f aca="0">IF(QUOTE_STORICO!K11="","",IF(QUOTE_STORICO!K11&gt;0,-QUOTE_STORICO!K11*LN(QUOTE_STORICO!K11),0))</x:f>
      </x:c>
      <x:c r="L11" s="5" t="str">
        <x:f aca="0">IF(QUOTE_STORICO!L11="","",IF(QUOTE_STORICO!L11&gt;0,-QUOTE_STORICO!L11*LN(QUOTE_STORICO!L11),0))</x:f>
      </x:c>
      <x:c r="M11" s="5" t="str">
        <x:f aca="0">IF(QUOTE_STORICO!M11="","",IF(QUOTE_STORICO!M11&gt;0,-QUOTE_STORICO!M11*LN(QUOTE_STORICO!M11),0))</x:f>
      </x:c>
      <x:c r="N11" s="5" t="str">
        <x:f aca="0">IF(QUOTE_STORICO!N11="","",IF(QUOTE_STORICO!N11&gt;0,-QUOTE_STORICO!N11*LN(QUOTE_STORICO!N11),0))</x:f>
      </x:c>
    </x:row>
    <x:row r="12" ht="15" hidden="0" customHeight="1">
      <x:c r="A12" s="5" t="s">
        <x:v>114</x:v>
      </x:c>
      <x:c r="B12" s="5" t="n">
        <x:f aca="0">IF(QUOTE_STORICO!B12="","",IF(QUOTE_STORICO!B12&gt;0,-QUOTE_STORICO!B12*LN(QUOTE_STORICO!B12),0))</x:f>
        <x:v>0.1463020144974233</x:v>
      </x:c>
      <x:c r="C12" s="5" t="str">
        <x:f aca="0">IF(QUOTE_STORICO!C12="","",IF(QUOTE_STORICO!C12&gt;0,-QUOTE_STORICO!C12*LN(QUOTE_STORICO!C12),0))</x:f>
      </x:c>
      <x:c r="D12" s="5" t="str">
        <x:f aca="0">IF(QUOTE_STORICO!D12="","",IF(QUOTE_STORICO!D12&gt;0,-QUOTE_STORICO!D12*LN(QUOTE_STORICO!D12),0))</x:f>
      </x:c>
      <x:c r="E12" s="5" t="str">
        <x:f aca="0">IF(QUOTE_STORICO!E12="","",IF(QUOTE_STORICO!E12&gt;0,-QUOTE_STORICO!E12*LN(QUOTE_STORICO!E12),0))</x:f>
      </x:c>
      <x:c r="F12" s="5" t="str">
        <x:f aca="0">IF(QUOTE_STORICO!F12="","",IF(QUOTE_STORICO!F12&gt;0,-QUOTE_STORICO!F12*LN(QUOTE_STORICO!F12),0))</x:f>
      </x:c>
      <x:c r="G12" s="5" t="str">
        <x:f aca="0">IF(QUOTE_STORICO!G12="","",IF(QUOTE_STORICO!G12&gt;0,-QUOTE_STORICO!G12*LN(QUOTE_STORICO!G12),0))</x:f>
      </x:c>
      <x:c r="H12" s="5" t="str">
        <x:f aca="0">IF(QUOTE_STORICO!H12="","",IF(QUOTE_STORICO!H12&gt;0,-QUOTE_STORICO!H12*LN(QUOTE_STORICO!H12),0))</x:f>
      </x:c>
      <x:c r="I12" s="5" t="str">
        <x:f aca="0">IF(QUOTE_STORICO!I12="","",IF(QUOTE_STORICO!I12&gt;0,-QUOTE_STORICO!I12*LN(QUOTE_STORICO!I12),0))</x:f>
      </x:c>
      <x:c r="J12" s="5" t="str">
        <x:f aca="0">IF(QUOTE_STORICO!J12="","",IF(QUOTE_STORICO!J12&gt;0,-QUOTE_STORICO!J12*LN(QUOTE_STORICO!J12),0))</x:f>
      </x:c>
      <x:c r="K12" s="5" t="str">
        <x:f aca="0">IF(QUOTE_STORICO!K12="","",IF(QUOTE_STORICO!K12&gt;0,-QUOTE_STORICO!K12*LN(QUOTE_STORICO!K12),0))</x:f>
      </x:c>
      <x:c r="L12" s="5" t="str">
        <x:f aca="0">IF(QUOTE_STORICO!L12="","",IF(QUOTE_STORICO!L12&gt;0,-QUOTE_STORICO!L12*LN(QUOTE_STORICO!L12),0))</x:f>
      </x:c>
      <x:c r="M12" s="5" t="str">
        <x:f aca="0">IF(QUOTE_STORICO!M12="","",IF(QUOTE_STORICO!M12&gt;0,-QUOTE_STORICO!M12*LN(QUOTE_STORICO!M12),0))</x:f>
      </x:c>
      <x:c r="N12" s="5" t="str">
        <x:f aca="0">IF(QUOTE_STORICO!N12="","",IF(QUOTE_STORICO!N12&gt;0,-QUOTE_STORICO!N12*LN(QUOTE_STORICO!N12),0))</x:f>
      </x:c>
    </x:row>
    <x:row r="13" ht="15" hidden="0" customHeight="1">
      <x:c r="A13" s="5" t="s">
        <x:v>115</x:v>
      </x:c>
      <x:c r="B13" s="5" t="n">
        <x:f aca="0">IF(QUOTE_STORICO!B13="","",IF(QUOTE_STORICO!B13&gt;0,-QUOTE_STORICO!B13*LN(QUOTE_STORICO!B13),0))</x:f>
        <x:v>0.058051701294523285</x:v>
      </x:c>
      <x:c r="C13" s="5" t="str">
        <x:f aca="0">IF(QUOTE_STORICO!C13="","",IF(QUOTE_STORICO!C13&gt;0,-QUOTE_STORICO!C13*LN(QUOTE_STORICO!C13),0))</x:f>
      </x:c>
      <x:c r="D13" s="5" t="str">
        <x:f aca="0">IF(QUOTE_STORICO!D13="","",IF(QUOTE_STORICO!D13&gt;0,-QUOTE_STORICO!D13*LN(QUOTE_STORICO!D13),0))</x:f>
      </x:c>
      <x:c r="E13" s="5" t="str">
        <x:f aca="0">IF(QUOTE_STORICO!E13="","",IF(QUOTE_STORICO!E13&gt;0,-QUOTE_STORICO!E13*LN(QUOTE_STORICO!E13),0))</x:f>
      </x:c>
      <x:c r="F13" s="5" t="str">
        <x:f aca="0">IF(QUOTE_STORICO!F13="","",IF(QUOTE_STORICO!F13&gt;0,-QUOTE_STORICO!F13*LN(QUOTE_STORICO!F13),0))</x:f>
      </x:c>
      <x:c r="G13" s="5" t="str">
        <x:f aca="0">IF(QUOTE_STORICO!G13="","",IF(QUOTE_STORICO!G13&gt;0,-QUOTE_STORICO!G13*LN(QUOTE_STORICO!G13),0))</x:f>
      </x:c>
      <x:c r="H13" s="5" t="str">
        <x:f aca="0">IF(QUOTE_STORICO!H13="","",IF(QUOTE_STORICO!H13&gt;0,-QUOTE_STORICO!H13*LN(QUOTE_STORICO!H13),0))</x:f>
      </x:c>
      <x:c r="I13" s="5" t="str">
        <x:f aca="0">IF(QUOTE_STORICO!I13="","",IF(QUOTE_STORICO!I13&gt;0,-QUOTE_STORICO!I13*LN(QUOTE_STORICO!I13),0))</x:f>
      </x:c>
      <x:c r="J13" s="5" t="str">
        <x:f aca="0">IF(QUOTE_STORICO!J13="","",IF(QUOTE_STORICO!J13&gt;0,-QUOTE_STORICO!J13*LN(QUOTE_STORICO!J13),0))</x:f>
      </x:c>
      <x:c r="K13" s="5" t="str">
        <x:f aca="0">IF(QUOTE_STORICO!K13="","",IF(QUOTE_STORICO!K13&gt;0,-QUOTE_STORICO!K13*LN(QUOTE_STORICO!K13),0))</x:f>
      </x:c>
      <x:c r="L13" s="5" t="str">
        <x:f aca="0">IF(QUOTE_STORICO!L13="","",IF(QUOTE_STORICO!L13&gt;0,-QUOTE_STORICO!L13*LN(QUOTE_STORICO!L13),0))</x:f>
      </x:c>
      <x:c r="M13" s="5" t="str">
        <x:f aca="0">IF(QUOTE_STORICO!M13="","",IF(QUOTE_STORICO!M13&gt;0,-QUOTE_STORICO!M13*LN(QUOTE_STORICO!M13),0))</x:f>
      </x:c>
      <x:c r="N13" s="5" t="str">
        <x:f aca="0">IF(QUOTE_STORICO!N13="","",IF(QUOTE_STORICO!N13&gt;0,-QUOTE_STORICO!N13*LN(QUOTE_STORICO!N13),0))</x:f>
      </x:c>
    </x:row>
    <x:row r="14" ht="15" hidden="0" customHeight="1">
      <x:c r="A14" s="5" t="s">
        <x:v>116</x:v>
      </x:c>
      <x:c r="B14" s="5" t="n">
        <x:f aca="0">IF(QUOTE_STORICO!B14="","",IF(QUOTE_STORICO!B14&gt;0,-QUOTE_STORICO!B14*LN(QUOTE_STORICO!B14),0))</x:f>
        <x:v>0.09813326110815139</x:v>
      </x:c>
      <x:c r="C14" s="5" t="str">
        <x:f aca="0">IF(QUOTE_STORICO!C14="","",IF(QUOTE_STORICO!C14&gt;0,-QUOTE_STORICO!C14*LN(QUOTE_STORICO!C14),0))</x:f>
      </x:c>
      <x:c r="D14" s="5" t="str">
        <x:f aca="0">IF(QUOTE_STORICO!D14="","",IF(QUOTE_STORICO!D14&gt;0,-QUOTE_STORICO!D14*LN(QUOTE_STORICO!D14),0))</x:f>
      </x:c>
      <x:c r="E14" s="5" t="str">
        <x:f aca="0">IF(QUOTE_STORICO!E14="","",IF(QUOTE_STORICO!E14&gt;0,-QUOTE_STORICO!E14*LN(QUOTE_STORICO!E14),0))</x:f>
      </x:c>
      <x:c r="F14" s="5" t="str">
        <x:f aca="0">IF(QUOTE_STORICO!F14="","",IF(QUOTE_STORICO!F14&gt;0,-QUOTE_STORICO!F14*LN(QUOTE_STORICO!F14),0))</x:f>
      </x:c>
      <x:c r="G14" s="5" t="str">
        <x:f aca="0">IF(QUOTE_STORICO!G14="","",IF(QUOTE_STORICO!G14&gt;0,-QUOTE_STORICO!G14*LN(QUOTE_STORICO!G14),0))</x:f>
      </x:c>
      <x:c r="H14" s="5" t="str">
        <x:f aca="0">IF(QUOTE_STORICO!H14="","",IF(QUOTE_STORICO!H14&gt;0,-QUOTE_STORICO!H14*LN(QUOTE_STORICO!H14),0))</x:f>
      </x:c>
      <x:c r="I14" s="5" t="str">
        <x:f aca="0">IF(QUOTE_STORICO!I14="","",IF(QUOTE_STORICO!I14&gt;0,-QUOTE_STORICO!I14*LN(QUOTE_STORICO!I14),0))</x:f>
      </x:c>
      <x:c r="J14" s="5" t="str">
        <x:f aca="0">IF(QUOTE_STORICO!J14="","",IF(QUOTE_STORICO!J14&gt;0,-QUOTE_STORICO!J14*LN(QUOTE_STORICO!J14),0))</x:f>
      </x:c>
      <x:c r="K14" s="5" t="str">
        <x:f aca="0">IF(QUOTE_STORICO!K14="","",IF(QUOTE_STORICO!K14&gt;0,-QUOTE_STORICO!K14*LN(QUOTE_STORICO!K14),0))</x:f>
      </x:c>
      <x:c r="L14" s="5" t="str">
        <x:f aca="0">IF(QUOTE_STORICO!L14="","",IF(QUOTE_STORICO!L14&gt;0,-QUOTE_STORICO!L14*LN(QUOTE_STORICO!L14),0))</x:f>
      </x:c>
      <x:c r="M14" s="5" t="str">
        <x:f aca="0">IF(QUOTE_STORICO!M14="","",IF(QUOTE_STORICO!M14&gt;0,-QUOTE_STORICO!M14*LN(QUOTE_STORICO!M14),0))</x:f>
      </x:c>
      <x:c r="N14" s="5" t="str">
        <x:f aca="0">IF(QUOTE_STORICO!N14="","",IF(QUOTE_STORICO!N14&gt;0,-QUOTE_STORICO!N14*LN(QUOTE_STORICO!N14),0))</x:f>
      </x:c>
    </x:row>
    <x:row r="15" ht="15" hidden="0" customHeight="1">
      <x:c r="A15" s="5" t="s">
        <x:v>117</x:v>
      </x:c>
      <x:c r="B15" s="5" t="n">
        <x:f aca="0">IF(QUOTE_STORICO!B15="","",IF(QUOTE_STORICO!B15&gt;0,-QUOTE_STORICO!B15*LN(QUOTE_STORICO!B15),0))</x:f>
        <x:v>0.2322729137085778</x:v>
      </x:c>
      <x:c r="C15" s="5" t="str">
        <x:f aca="0">IF(QUOTE_STORICO!C15="","",IF(QUOTE_STORICO!C15&gt;0,-QUOTE_STORICO!C15*LN(QUOTE_STORICO!C15),0))</x:f>
      </x:c>
      <x:c r="D15" s="5" t="str">
        <x:f aca="0">IF(QUOTE_STORICO!D15="","",IF(QUOTE_STORICO!D15&gt;0,-QUOTE_STORICO!D15*LN(QUOTE_STORICO!D15),0))</x:f>
      </x:c>
      <x:c r="E15" s="5" t="str">
        <x:f aca="0">IF(QUOTE_STORICO!E15="","",IF(QUOTE_STORICO!E15&gt;0,-QUOTE_STORICO!E15*LN(QUOTE_STORICO!E15),0))</x:f>
      </x:c>
      <x:c r="F15" s="5" t="str">
        <x:f aca="0">IF(QUOTE_STORICO!F15="","",IF(QUOTE_STORICO!F15&gt;0,-QUOTE_STORICO!F15*LN(QUOTE_STORICO!F15),0))</x:f>
      </x:c>
      <x:c r="G15" s="5" t="str">
        <x:f aca="0">IF(QUOTE_STORICO!G15="","",IF(QUOTE_STORICO!G15&gt;0,-QUOTE_STORICO!G15*LN(QUOTE_STORICO!G15),0))</x:f>
      </x:c>
      <x:c r="H15" s="5" t="str">
        <x:f aca="0">IF(QUOTE_STORICO!H15="","",IF(QUOTE_STORICO!H15&gt;0,-QUOTE_STORICO!H15*LN(QUOTE_STORICO!H15),0))</x:f>
      </x:c>
      <x:c r="I15" s="5" t="str">
        <x:f aca="0">IF(QUOTE_STORICO!I15="","",IF(QUOTE_STORICO!I15&gt;0,-QUOTE_STORICO!I15*LN(QUOTE_STORICO!I15),0))</x:f>
      </x:c>
      <x:c r="J15" s="5" t="str">
        <x:f aca="0">IF(QUOTE_STORICO!J15="","",IF(QUOTE_STORICO!J15&gt;0,-QUOTE_STORICO!J15*LN(QUOTE_STORICO!J15),0))</x:f>
      </x:c>
      <x:c r="K15" s="5" t="str">
        <x:f aca="0">IF(QUOTE_STORICO!K15="","",IF(QUOTE_STORICO!K15&gt;0,-QUOTE_STORICO!K15*LN(QUOTE_STORICO!K15),0))</x:f>
      </x:c>
      <x:c r="L15" s="5" t="str">
        <x:f aca="0">IF(QUOTE_STORICO!L15="","",IF(QUOTE_STORICO!L15&gt;0,-QUOTE_STORICO!L15*LN(QUOTE_STORICO!L15),0))</x:f>
      </x:c>
      <x:c r="M15" s="5" t="str">
        <x:f aca="0">IF(QUOTE_STORICO!M15="","",IF(QUOTE_STORICO!M15&gt;0,-QUOTE_STORICO!M15*LN(QUOTE_STORICO!M15),0))</x:f>
      </x:c>
      <x:c r="N15" s="5" t="str">
        <x:f aca="0">IF(QUOTE_STORICO!N15="","",IF(QUOTE_STORICO!N15&gt;0,-QUOTE_STORICO!N15*LN(QUOTE_STORICO!N15),0))</x:f>
      </x:c>
    </x:row>
    <x:row r="16" ht="15" hidden="0" customHeight="1">
      <x:c r="A16" s="5" t="s">
        <x:v>118</x:v>
      </x:c>
      <x:c r="B16" s="5" t="n">
        <x:f aca="0">IF(QUOTE_STORICO!B16="","",IF(QUOTE_STORICO!B16&gt;0,-QUOTE_STORICO!B16*LN(QUOTE_STORICO!B16),0))</x:f>
        <x:v>0.09919510015976143</x:v>
      </x:c>
      <x:c r="C16" s="5" t="str">
        <x:f aca="0">IF(QUOTE_STORICO!C16="","",IF(QUOTE_STORICO!C16&gt;0,-QUOTE_STORICO!C16*LN(QUOTE_STORICO!C16),0))</x:f>
      </x:c>
      <x:c r="D16" s="5" t="str">
        <x:f aca="0">IF(QUOTE_STORICO!D16="","",IF(QUOTE_STORICO!D16&gt;0,-QUOTE_STORICO!D16*LN(QUOTE_STORICO!D16),0))</x:f>
      </x:c>
      <x:c r="E16" s="5" t="str">
        <x:f aca="0">IF(QUOTE_STORICO!E16="","",IF(QUOTE_STORICO!E16&gt;0,-QUOTE_STORICO!E16*LN(QUOTE_STORICO!E16),0))</x:f>
      </x:c>
      <x:c r="F16" s="5" t="str">
        <x:f aca="0">IF(QUOTE_STORICO!F16="","",IF(QUOTE_STORICO!F16&gt;0,-QUOTE_STORICO!F16*LN(QUOTE_STORICO!F16),0))</x:f>
      </x:c>
      <x:c r="G16" s="5" t="str">
        <x:f aca="0">IF(QUOTE_STORICO!G16="","",IF(QUOTE_STORICO!G16&gt;0,-QUOTE_STORICO!G16*LN(QUOTE_STORICO!G16),0))</x:f>
      </x:c>
      <x:c r="H16" s="5" t="str">
        <x:f aca="0">IF(QUOTE_STORICO!H16="","",IF(QUOTE_STORICO!H16&gt;0,-QUOTE_STORICO!H16*LN(QUOTE_STORICO!H16),0))</x:f>
      </x:c>
      <x:c r="I16" s="5" t="str">
        <x:f aca="0">IF(QUOTE_STORICO!I16="","",IF(QUOTE_STORICO!I16&gt;0,-QUOTE_STORICO!I16*LN(QUOTE_STORICO!I16),0))</x:f>
      </x:c>
      <x:c r="J16" s="5" t="str">
        <x:f aca="0">IF(QUOTE_STORICO!J16="","",IF(QUOTE_STORICO!J16&gt;0,-QUOTE_STORICO!J16*LN(QUOTE_STORICO!J16),0))</x:f>
      </x:c>
      <x:c r="K16" s="5" t="str">
        <x:f aca="0">IF(QUOTE_STORICO!K16="","",IF(QUOTE_STORICO!K16&gt;0,-QUOTE_STORICO!K16*LN(QUOTE_STORICO!K16),0))</x:f>
      </x:c>
      <x:c r="L16" s="5" t="str">
        <x:f aca="0">IF(QUOTE_STORICO!L16="","",IF(QUOTE_STORICO!L16&gt;0,-QUOTE_STORICO!L16*LN(QUOTE_STORICO!L16),0))</x:f>
      </x:c>
      <x:c r="M16" s="5" t="str">
        <x:f aca="0">IF(QUOTE_STORICO!M16="","",IF(QUOTE_STORICO!M16&gt;0,-QUOTE_STORICO!M16*LN(QUOTE_STORICO!M16),0))</x:f>
      </x:c>
      <x:c r="N16" s="5" t="str">
        <x:f aca="0">IF(QUOTE_STORICO!N16="","",IF(QUOTE_STORICO!N16&gt;0,-QUOTE_STORICO!N16*LN(QUOTE_STORICO!N16),0))</x:f>
      </x:c>
    </x:row>
    <x:row r="17" ht="15" hidden="0" customHeight="1">
      <x:c r="A17" s="5" t="s">
        <x:v>119</x:v>
      </x:c>
      <x:c r="B17" s="5" t="n">
        <x:f aca="0">IF(QUOTE_STORICO!B17="","",IF(QUOTE_STORICO!B17&gt;0,-QUOTE_STORICO!B17*LN(QUOTE_STORICO!B17),0))</x:f>
        <x:v>0.0356610738319821</x:v>
      </x:c>
      <x:c r="C17" s="5" t="str">
        <x:f aca="0">IF(QUOTE_STORICO!C17="","",IF(QUOTE_STORICO!C17&gt;0,-QUOTE_STORICO!C17*LN(QUOTE_STORICO!C17),0))</x:f>
      </x:c>
      <x:c r="D17" s="5" t="str">
        <x:f aca="0">IF(QUOTE_STORICO!D17="","",IF(QUOTE_STORICO!D17&gt;0,-QUOTE_STORICO!D17*LN(QUOTE_STORICO!D17),0))</x:f>
      </x:c>
      <x:c r="E17" s="5" t="str">
        <x:f aca="0">IF(QUOTE_STORICO!E17="","",IF(QUOTE_STORICO!E17&gt;0,-QUOTE_STORICO!E17*LN(QUOTE_STORICO!E17),0))</x:f>
      </x:c>
      <x:c r="F17" s="5" t="str">
        <x:f aca="0">IF(QUOTE_STORICO!F17="","",IF(QUOTE_STORICO!F17&gt;0,-QUOTE_STORICO!F17*LN(QUOTE_STORICO!F17),0))</x:f>
      </x:c>
      <x:c r="G17" s="5" t="str">
        <x:f aca="0">IF(QUOTE_STORICO!G17="","",IF(QUOTE_STORICO!G17&gt;0,-QUOTE_STORICO!G17*LN(QUOTE_STORICO!G17),0))</x:f>
      </x:c>
      <x:c r="H17" s="5" t="str">
        <x:f aca="0">IF(QUOTE_STORICO!H17="","",IF(QUOTE_STORICO!H17&gt;0,-QUOTE_STORICO!H17*LN(QUOTE_STORICO!H17),0))</x:f>
      </x:c>
      <x:c r="I17" s="5" t="str">
        <x:f aca="0">IF(QUOTE_STORICO!I17="","",IF(QUOTE_STORICO!I17&gt;0,-QUOTE_STORICO!I17*LN(QUOTE_STORICO!I17),0))</x:f>
      </x:c>
      <x:c r="J17" s="5" t="str">
        <x:f aca="0">IF(QUOTE_STORICO!J17="","",IF(QUOTE_STORICO!J17&gt;0,-QUOTE_STORICO!J17*LN(QUOTE_STORICO!J17),0))</x:f>
      </x:c>
      <x:c r="K17" s="5" t="str">
        <x:f aca="0">IF(QUOTE_STORICO!K17="","",IF(QUOTE_STORICO!K17&gt;0,-QUOTE_STORICO!K17*LN(QUOTE_STORICO!K17),0))</x:f>
      </x:c>
      <x:c r="L17" s="5" t="str">
        <x:f aca="0">IF(QUOTE_STORICO!L17="","",IF(QUOTE_STORICO!L17&gt;0,-QUOTE_STORICO!L17*LN(QUOTE_STORICO!L17),0))</x:f>
      </x:c>
      <x:c r="M17" s="5" t="str">
        <x:f aca="0">IF(QUOTE_STORICO!M17="","",IF(QUOTE_STORICO!M17&gt;0,-QUOTE_STORICO!M17*LN(QUOTE_STORICO!M17),0))</x:f>
      </x:c>
      <x:c r="N17" s="5" t="str">
        <x:f aca="0">IF(QUOTE_STORICO!N17="","",IF(QUOTE_STORICO!N17&gt;0,-QUOTE_STORICO!N17*LN(QUOTE_STORICO!N17),0))</x:f>
      </x:c>
    </x:row>
    <x:row r="18" ht="15" hidden="0" customHeight="1">
      <x:c r="A18" s="5" t="s">
        <x:v>120</x:v>
      </x:c>
      <x:c r="B18" s="5" t="n">
        <x:f aca="0">IF(QUOTE_STORICO!B18="","",IF(QUOTE_STORICO!B18&gt;0,-QUOTE_STORICO!B18*LN(QUOTE_STORICO!B18),0))</x:f>
        <x:v>0.20413856582310808</x:v>
      </x:c>
      <x:c r="C18" s="5" t="str">
        <x:f aca="0">IF(QUOTE_STORICO!C18="","",IF(QUOTE_STORICO!C18&gt;0,-QUOTE_STORICO!C18*LN(QUOTE_STORICO!C18),0))</x:f>
      </x:c>
      <x:c r="D18" s="5" t="str">
        <x:f aca="0">IF(QUOTE_STORICO!D18="","",IF(QUOTE_STORICO!D18&gt;0,-QUOTE_STORICO!D18*LN(QUOTE_STORICO!D18),0))</x:f>
      </x:c>
      <x:c r="E18" s="5" t="str">
        <x:f aca="0">IF(QUOTE_STORICO!E18="","",IF(QUOTE_STORICO!E18&gt;0,-QUOTE_STORICO!E18*LN(QUOTE_STORICO!E18),0))</x:f>
      </x:c>
      <x:c r="F18" s="5" t="str">
        <x:f aca="0">IF(QUOTE_STORICO!F18="","",IF(QUOTE_STORICO!F18&gt;0,-QUOTE_STORICO!F18*LN(QUOTE_STORICO!F18),0))</x:f>
      </x:c>
      <x:c r="G18" s="5" t="str">
        <x:f aca="0">IF(QUOTE_STORICO!G18="","",IF(QUOTE_STORICO!G18&gt;0,-QUOTE_STORICO!G18*LN(QUOTE_STORICO!G18),0))</x:f>
      </x:c>
      <x:c r="H18" s="5" t="str">
        <x:f aca="0">IF(QUOTE_STORICO!H18="","",IF(QUOTE_STORICO!H18&gt;0,-QUOTE_STORICO!H18*LN(QUOTE_STORICO!H18),0))</x:f>
      </x:c>
      <x:c r="I18" s="5" t="str">
        <x:f aca="0">IF(QUOTE_STORICO!I18="","",IF(QUOTE_STORICO!I18&gt;0,-QUOTE_STORICO!I18*LN(QUOTE_STORICO!I18),0))</x:f>
      </x:c>
      <x:c r="J18" s="5" t="str">
        <x:f aca="0">IF(QUOTE_STORICO!J18="","",IF(QUOTE_STORICO!J18&gt;0,-QUOTE_STORICO!J18*LN(QUOTE_STORICO!J18),0))</x:f>
      </x:c>
      <x:c r="K18" s="5" t="str">
        <x:f aca="0">IF(QUOTE_STORICO!K18="","",IF(QUOTE_STORICO!K18&gt;0,-QUOTE_STORICO!K18*LN(QUOTE_STORICO!K18),0))</x:f>
      </x:c>
      <x:c r="L18" s="5" t="str">
        <x:f aca="0">IF(QUOTE_STORICO!L18="","",IF(QUOTE_STORICO!L18&gt;0,-QUOTE_STORICO!L18*LN(QUOTE_STORICO!L18),0))</x:f>
      </x:c>
      <x:c r="M18" s="5" t="str">
        <x:f aca="0">IF(QUOTE_STORICO!M18="","",IF(QUOTE_STORICO!M18&gt;0,-QUOTE_STORICO!M18*LN(QUOTE_STORICO!M18),0))</x:f>
      </x:c>
      <x:c r="N18" s="5" t="str">
        <x:f aca="0">IF(QUOTE_STORICO!N18="","",IF(QUOTE_STORICO!N18&gt;0,-QUOTE_STORICO!N18*LN(QUOTE_STORICO!N18),0))</x:f>
      </x:c>
    </x:row>
    <x:row r="19" ht="15" hidden="0" customHeight="1">
      <x:c r="A19" s="5" t="s">
        <x:v>121</x:v>
      </x:c>
      <x:c r="B19" s="5" t="n">
        <x:f aca="0">IF(QUOTE_STORICO!B19="","",IF(QUOTE_STORICO!B19&gt;0,-QUOTE_STORICO!B19*LN(QUOTE_STORICO!B19),0))</x:f>
        <x:v>0.21188994814914455</x:v>
      </x:c>
      <x:c r="C19" s="5" t="str">
        <x:f aca="0">IF(QUOTE_STORICO!C19="","",IF(QUOTE_STORICO!C19&gt;0,-QUOTE_STORICO!C19*LN(QUOTE_STORICO!C19),0))</x:f>
      </x:c>
      <x:c r="D19" s="5" t="str">
        <x:f aca="0">IF(QUOTE_STORICO!D19="","",IF(QUOTE_STORICO!D19&gt;0,-QUOTE_STORICO!D19*LN(QUOTE_STORICO!D19),0))</x:f>
      </x:c>
      <x:c r="E19" s="5" t="str">
        <x:f aca="0">IF(QUOTE_STORICO!E19="","",IF(QUOTE_STORICO!E19&gt;0,-QUOTE_STORICO!E19*LN(QUOTE_STORICO!E19),0))</x:f>
      </x:c>
      <x:c r="F19" s="5" t="str">
        <x:f aca="0">IF(QUOTE_STORICO!F19="","",IF(QUOTE_STORICO!F19&gt;0,-QUOTE_STORICO!F19*LN(QUOTE_STORICO!F19),0))</x:f>
      </x:c>
      <x:c r="G19" s="5" t="str">
        <x:f aca="0">IF(QUOTE_STORICO!G19="","",IF(QUOTE_STORICO!G19&gt;0,-QUOTE_STORICO!G19*LN(QUOTE_STORICO!G19),0))</x:f>
      </x:c>
      <x:c r="H19" s="5" t="str">
        <x:f aca="0">IF(QUOTE_STORICO!H19="","",IF(QUOTE_STORICO!H19&gt;0,-QUOTE_STORICO!H19*LN(QUOTE_STORICO!H19),0))</x:f>
      </x:c>
      <x:c r="I19" s="5" t="str">
        <x:f aca="0">IF(QUOTE_STORICO!I19="","",IF(QUOTE_STORICO!I19&gt;0,-QUOTE_STORICO!I19*LN(QUOTE_STORICO!I19),0))</x:f>
      </x:c>
      <x:c r="J19" s="5" t="str">
        <x:f aca="0">IF(QUOTE_STORICO!J19="","",IF(QUOTE_STORICO!J19&gt;0,-QUOTE_STORICO!J19*LN(QUOTE_STORICO!J19),0))</x:f>
      </x:c>
      <x:c r="K19" s="5" t="str">
        <x:f aca="0">IF(QUOTE_STORICO!K19="","",IF(QUOTE_STORICO!K19&gt;0,-QUOTE_STORICO!K19*LN(QUOTE_STORICO!K19),0))</x:f>
      </x:c>
      <x:c r="L19" s="5" t="str">
        <x:f aca="0">IF(QUOTE_STORICO!L19="","",IF(QUOTE_STORICO!L19&gt;0,-QUOTE_STORICO!L19*LN(QUOTE_STORICO!L19),0))</x:f>
      </x:c>
      <x:c r="M19" s="5" t="str">
        <x:f aca="0">IF(QUOTE_STORICO!M19="","",IF(QUOTE_STORICO!M19&gt;0,-QUOTE_STORICO!M19*LN(QUOTE_STORICO!M19),0))</x:f>
      </x:c>
      <x:c r="N19" s="5" t="str">
        <x:f aca="0">IF(QUOTE_STORICO!N19="","",IF(QUOTE_STORICO!N19&gt;0,-QUOTE_STORICO!N19*LN(QUOTE_STORICO!N19),0))</x:f>
      </x:c>
    </x:row>
    <x:row r="20" ht="15" hidden="0" customHeight="1">
      <x:c r="A20" s="5" t="s">
        <x:v>122</x:v>
      </x:c>
      <x:c r="B20" s="5" t="n">
        <x:f aca="0">IF(QUOTE_STORICO!B20="","",IF(QUOTE_STORICO!B20&gt;0,-QUOTE_STORICO!B20*LN(QUOTE_STORICO!B20),0))</x:f>
        <x:v>0.03973103637251359</x:v>
      </x:c>
      <x:c r="C20" s="5" t="str">
        <x:f aca="0">IF(QUOTE_STORICO!C20="","",IF(QUOTE_STORICO!C20&gt;0,-QUOTE_STORICO!C20*LN(QUOTE_STORICO!C20),0))</x:f>
      </x:c>
      <x:c r="D20" s="5" t="str">
        <x:f aca="0">IF(QUOTE_STORICO!D20="","",IF(QUOTE_STORICO!D20&gt;0,-QUOTE_STORICO!D20*LN(QUOTE_STORICO!D20),0))</x:f>
      </x:c>
      <x:c r="E20" s="5" t="str">
        <x:f aca="0">IF(QUOTE_STORICO!E20="","",IF(QUOTE_STORICO!E20&gt;0,-QUOTE_STORICO!E20*LN(QUOTE_STORICO!E20),0))</x:f>
      </x:c>
      <x:c r="F20" s="5" t="str">
        <x:f aca="0">IF(QUOTE_STORICO!F20="","",IF(QUOTE_STORICO!F20&gt;0,-QUOTE_STORICO!F20*LN(QUOTE_STORICO!F20),0))</x:f>
      </x:c>
      <x:c r="G20" s="5" t="str">
        <x:f aca="0">IF(QUOTE_STORICO!G20="","",IF(QUOTE_STORICO!G20&gt;0,-QUOTE_STORICO!G20*LN(QUOTE_STORICO!G20),0))</x:f>
      </x:c>
      <x:c r="H20" s="5" t="str">
        <x:f aca="0">IF(QUOTE_STORICO!H20="","",IF(QUOTE_STORICO!H20&gt;0,-QUOTE_STORICO!H20*LN(QUOTE_STORICO!H20),0))</x:f>
      </x:c>
      <x:c r="I20" s="5" t="str">
        <x:f aca="0">IF(QUOTE_STORICO!I20="","",IF(QUOTE_STORICO!I20&gt;0,-QUOTE_STORICO!I20*LN(QUOTE_STORICO!I20),0))</x:f>
      </x:c>
      <x:c r="J20" s="5" t="str">
        <x:f aca="0">IF(QUOTE_STORICO!J20="","",IF(QUOTE_STORICO!J20&gt;0,-QUOTE_STORICO!J20*LN(QUOTE_STORICO!J20),0))</x:f>
      </x:c>
      <x:c r="K20" s="5" t="str">
        <x:f aca="0">IF(QUOTE_STORICO!K20="","",IF(QUOTE_STORICO!K20&gt;0,-QUOTE_STORICO!K20*LN(QUOTE_STORICO!K20),0))</x:f>
      </x:c>
      <x:c r="L20" s="5" t="str">
        <x:f aca="0">IF(QUOTE_STORICO!L20="","",IF(QUOTE_STORICO!L20&gt;0,-QUOTE_STORICO!L20*LN(QUOTE_STORICO!L20),0))</x:f>
      </x:c>
      <x:c r="M20" s="5" t="str">
        <x:f aca="0">IF(QUOTE_STORICO!M20="","",IF(QUOTE_STORICO!M20&gt;0,-QUOTE_STORICO!M20*LN(QUOTE_STORICO!M20),0))</x:f>
      </x:c>
      <x:c r="N20" s="5" t="str">
        <x:f aca="0">IF(QUOTE_STORICO!N20="","",IF(QUOTE_STORICO!N20&gt;0,-QUOTE_STORICO!N20*LN(QUOTE_STORICO!N20),0))</x:f>
      </x:c>
    </x:row>
    <x:row r="21" ht="15" hidden="0" customHeight="1">
      <x:c r="A21" s="5" t="s">
        <x:v>123</x:v>
      </x:c>
      <x:c r="B21" s="5" t="n">
        <x:f aca="0">IF(QUOTE_STORICO!B21="","",IF(QUOTE_STORICO!B21&gt;0,-QUOTE_STORICO!B21*LN(QUOTE_STORICO!B21),0))</x:f>
        <x:v>0.12748533552064287</x:v>
      </x:c>
      <x:c r="C21" s="5" t="str">
        <x:f aca="0">IF(QUOTE_STORICO!C21="","",IF(QUOTE_STORICO!C21&gt;0,-QUOTE_STORICO!C21*LN(QUOTE_STORICO!C21),0))</x:f>
      </x:c>
      <x:c r="D21" s="5" t="str">
        <x:f aca="0">IF(QUOTE_STORICO!D21="","",IF(QUOTE_STORICO!D21&gt;0,-QUOTE_STORICO!D21*LN(QUOTE_STORICO!D21),0))</x:f>
      </x:c>
      <x:c r="E21" s="5" t="str">
        <x:f aca="0">IF(QUOTE_STORICO!E21="","",IF(QUOTE_STORICO!E21&gt;0,-QUOTE_STORICO!E21*LN(QUOTE_STORICO!E21),0))</x:f>
      </x:c>
      <x:c r="F21" s="5" t="str">
        <x:f aca="0">IF(QUOTE_STORICO!F21="","",IF(QUOTE_STORICO!F21&gt;0,-QUOTE_STORICO!F21*LN(QUOTE_STORICO!F21),0))</x:f>
      </x:c>
      <x:c r="G21" s="5" t="str">
        <x:f aca="0">IF(QUOTE_STORICO!G21="","",IF(QUOTE_STORICO!G21&gt;0,-QUOTE_STORICO!G21*LN(QUOTE_STORICO!G21),0))</x:f>
      </x:c>
      <x:c r="H21" s="5" t="str">
        <x:f aca="0">IF(QUOTE_STORICO!H21="","",IF(QUOTE_STORICO!H21&gt;0,-QUOTE_STORICO!H21*LN(QUOTE_STORICO!H21),0))</x:f>
      </x:c>
      <x:c r="I21" s="5" t="str">
        <x:f aca="0">IF(QUOTE_STORICO!I21="","",IF(QUOTE_STORICO!I21&gt;0,-QUOTE_STORICO!I21*LN(QUOTE_STORICO!I21),0))</x:f>
      </x:c>
      <x:c r="J21" s="5" t="str">
        <x:f aca="0">IF(QUOTE_STORICO!J21="","",IF(QUOTE_STORICO!J21&gt;0,-QUOTE_STORICO!J21*LN(QUOTE_STORICO!J21),0))</x:f>
      </x:c>
      <x:c r="K21" s="5" t="str">
        <x:f aca="0">IF(QUOTE_STORICO!K21="","",IF(QUOTE_STORICO!K21&gt;0,-QUOTE_STORICO!K21*LN(QUOTE_STORICO!K21),0))</x:f>
      </x:c>
      <x:c r="L21" s="5" t="str">
        <x:f aca="0">IF(QUOTE_STORICO!L21="","",IF(QUOTE_STORICO!L21&gt;0,-QUOTE_STORICO!L21*LN(QUOTE_STORICO!L21),0))</x:f>
      </x:c>
      <x:c r="M21" s="5" t="str">
        <x:f aca="0">IF(QUOTE_STORICO!M21="","",IF(QUOTE_STORICO!M21&gt;0,-QUOTE_STORICO!M21*LN(QUOTE_STORICO!M21),0))</x:f>
      </x:c>
      <x:c r="N21" s="5" t="str">
        <x:f aca="0">IF(QUOTE_STORICO!N21="","",IF(QUOTE_STORICO!N21&gt;0,-QUOTE_STORICO!N21*LN(QUOTE_STORICO!N21),0))</x:f>
      </x:c>
    </x:row>
    <x:row r="22" ht="15" hidden="0" customHeight="1">
      <x:c r="A22" s="5" t="s">
        <x:v>124</x:v>
      </x:c>
      <x:c r="B22" s="5" t="n">
        <x:f aca="0">IF(QUOTE_STORICO!B22="","",IF(QUOTE_STORICO!B22&gt;0,-QUOTE_STORICO!B22*LN(QUOTE_STORICO!B22),0))</x:f>
        <x:v>0.18647753315288834</x:v>
      </x:c>
      <x:c r="C22" s="5" t="str">
        <x:f aca="0">IF(QUOTE_STORICO!C22="","",IF(QUOTE_STORICO!C22&gt;0,-QUOTE_STORICO!C22*LN(QUOTE_STORICO!C22),0))</x:f>
      </x:c>
      <x:c r="D22" s="5" t="str">
        <x:f aca="0">IF(QUOTE_STORICO!D22="","",IF(QUOTE_STORICO!D22&gt;0,-QUOTE_STORICO!D22*LN(QUOTE_STORICO!D22),0))</x:f>
      </x:c>
      <x:c r="E22" s="5" t="str">
        <x:f aca="0">IF(QUOTE_STORICO!E22="","",IF(QUOTE_STORICO!E22&gt;0,-QUOTE_STORICO!E22*LN(QUOTE_STORICO!E22),0))</x:f>
      </x:c>
      <x:c r="F22" s="5" t="str">
        <x:f aca="0">IF(QUOTE_STORICO!F22="","",IF(QUOTE_STORICO!F22&gt;0,-QUOTE_STORICO!F22*LN(QUOTE_STORICO!F22),0))</x:f>
      </x:c>
      <x:c r="G22" s="5" t="str">
        <x:f aca="0">IF(QUOTE_STORICO!G22="","",IF(QUOTE_STORICO!G22&gt;0,-QUOTE_STORICO!G22*LN(QUOTE_STORICO!G22),0))</x:f>
      </x:c>
      <x:c r="H22" s="5" t="str">
        <x:f aca="0">IF(QUOTE_STORICO!H22="","",IF(QUOTE_STORICO!H22&gt;0,-QUOTE_STORICO!H22*LN(QUOTE_STORICO!H22),0))</x:f>
      </x:c>
      <x:c r="I22" s="5" t="str">
        <x:f aca="0">IF(QUOTE_STORICO!I22="","",IF(QUOTE_STORICO!I22&gt;0,-QUOTE_STORICO!I22*LN(QUOTE_STORICO!I22),0))</x:f>
      </x:c>
      <x:c r="J22" s="5" t="str">
        <x:f aca="0">IF(QUOTE_STORICO!J22="","",IF(QUOTE_STORICO!J22&gt;0,-QUOTE_STORICO!J22*LN(QUOTE_STORICO!J22),0))</x:f>
      </x:c>
      <x:c r="K22" s="5" t="str">
        <x:f aca="0">IF(QUOTE_STORICO!K22="","",IF(QUOTE_STORICO!K22&gt;0,-QUOTE_STORICO!K22*LN(QUOTE_STORICO!K22),0))</x:f>
      </x:c>
      <x:c r="L22" s="5" t="str">
        <x:f aca="0">IF(QUOTE_STORICO!L22="","",IF(QUOTE_STORICO!L22&gt;0,-QUOTE_STORICO!L22*LN(QUOTE_STORICO!L22),0))</x:f>
      </x:c>
      <x:c r="M22" s="5" t="str">
        <x:f aca="0">IF(QUOTE_STORICO!M22="","",IF(QUOTE_STORICO!M22&gt;0,-QUOTE_STORICO!M22*LN(QUOTE_STORICO!M22),0))</x:f>
      </x:c>
      <x:c r="N22" s="5" t="str">
        <x:f aca="0">IF(QUOTE_STORICO!N22="","",IF(QUOTE_STORICO!N22&gt;0,-QUOTE_STORICO!N22*LN(QUOTE_STORICO!N22),0))</x:f>
      </x:c>
    </x:row>
    <x:row r="23" ht="15" hidden="0" customHeight="1">
      <x:c r="A23" s="5" t="s">
        <x:v>125</x:v>
      </x:c>
      <x:c r="B23" s="5" t="n">
        <x:f aca="0">IF(QUOTE_STORICO!B23="","",IF(QUOTE_STORICO!B23&gt;0,-QUOTE_STORICO!B23*LN(QUOTE_STORICO!B23),0))</x:f>
        <x:v>0.11153505857682924</x:v>
      </x:c>
      <x:c r="C23" s="5" t="str">
        <x:f aca="0">IF(QUOTE_STORICO!C23="","",IF(QUOTE_STORICO!C23&gt;0,-QUOTE_STORICO!C23*LN(QUOTE_STORICO!C23),0))</x:f>
      </x:c>
      <x:c r="D23" s="5" t="str">
        <x:f aca="0">IF(QUOTE_STORICO!D23="","",IF(QUOTE_STORICO!D23&gt;0,-QUOTE_STORICO!D23*LN(QUOTE_STORICO!D23),0))</x:f>
      </x:c>
      <x:c r="E23" s="5" t="str">
        <x:f aca="0">IF(QUOTE_STORICO!E23="","",IF(QUOTE_STORICO!E23&gt;0,-QUOTE_STORICO!E23*LN(QUOTE_STORICO!E23),0))</x:f>
      </x:c>
      <x:c r="F23" s="5" t="str">
        <x:f aca="0">IF(QUOTE_STORICO!F23="","",IF(QUOTE_STORICO!F23&gt;0,-QUOTE_STORICO!F23*LN(QUOTE_STORICO!F23),0))</x:f>
      </x:c>
      <x:c r="G23" s="5" t="str">
        <x:f aca="0">IF(QUOTE_STORICO!G23="","",IF(QUOTE_STORICO!G23&gt;0,-QUOTE_STORICO!G23*LN(QUOTE_STORICO!G23),0))</x:f>
      </x:c>
      <x:c r="H23" s="5" t="str">
        <x:f aca="0">IF(QUOTE_STORICO!H23="","",IF(QUOTE_STORICO!H23&gt;0,-QUOTE_STORICO!H23*LN(QUOTE_STORICO!H23),0))</x:f>
      </x:c>
      <x:c r="I23" s="5" t="str">
        <x:f aca="0">IF(QUOTE_STORICO!I23="","",IF(QUOTE_STORICO!I23&gt;0,-QUOTE_STORICO!I23*LN(QUOTE_STORICO!I23),0))</x:f>
      </x:c>
      <x:c r="J23" s="5" t="str">
        <x:f aca="0">IF(QUOTE_STORICO!J23="","",IF(QUOTE_STORICO!J23&gt;0,-QUOTE_STORICO!J23*LN(QUOTE_STORICO!J23),0))</x:f>
      </x:c>
      <x:c r="K23" s="5" t="str">
        <x:f aca="0">IF(QUOTE_STORICO!K23="","",IF(QUOTE_STORICO!K23&gt;0,-QUOTE_STORICO!K23*LN(QUOTE_STORICO!K23),0))</x:f>
      </x:c>
      <x:c r="L23" s="5" t="str">
        <x:f aca="0">IF(QUOTE_STORICO!L23="","",IF(QUOTE_STORICO!L23&gt;0,-QUOTE_STORICO!L23*LN(QUOTE_STORICO!L23),0))</x:f>
      </x:c>
      <x:c r="M23" s="5" t="str">
        <x:f aca="0">IF(QUOTE_STORICO!M23="","",IF(QUOTE_STORICO!M23&gt;0,-QUOTE_STORICO!M23*LN(QUOTE_STORICO!M23),0))</x:f>
      </x:c>
      <x:c r="N23" s="5" t="str">
        <x:f aca="0">IF(QUOTE_STORICO!N23="","",IF(QUOTE_STORICO!N23&gt;0,-QUOTE_STORICO!N23*LN(QUOTE_STORICO!N23),0))</x:f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ColWidth="8.6796875" defaultRowHeight="15"/>
  <x:cols>
    <x:col min="1" max="1" width="18" style="5" hidden="0" customWidth="1"/>
    <x:col min="2" max="5" width="24" style="5" hidden="0" customWidth="1"/>
    <x:col min="6" max="6" width="24" hidden="0" customWidth="1"/>
    <x:col min="7" max="7" width="26" hidden="0" customWidth="1"/>
  </x:cols>
  <x:sheetData>
    <x:row r="1" ht="36" hidden="0" customHeight="1">
      <x:c r="A1" s="6" t="s">
        <x:v>200</x:v>
      </x:c>
      <x:c r="B1" s="6"/>
      <x:c r="C1" s="6"/>
      <x:c r="D1" s="6"/>
      <x:c r="E1" s="6"/>
    </x:row>
    <x:row r="2" ht="24.75" hidden="0" customHeight="1">
      <x:c r="A2" s="7" t="str">
        <x:v>H iscritti e JS mensili; H scenario condizionato con f/v/m e pesi congelati al 18/10/2026</x:v>
      </x:c>
      <x:c r="B2" s="7"/>
      <x:c r="C2" s="7"/>
      <x:c r="D2" s="7"/>
      <x:c r="E2" s="7"/>
    </x:row>
    <x:row r="3" ht="33.75" hidden="0" customHeight="1">
      <x:c r="A3" s="8" t="s">
        <x:v>201</x:v>
      </x:c>
      <x:c r="B3" s="8" t="s">
        <x:v>202</x:v>
      </x:c>
      <x:c r="C3" s="8" t="s">
        <x:v>203</x:v>
      </x:c>
      <x:c r="D3" s="8" t="s">
        <x:v>204</x:v>
      </x:c>
      <x:c r="E3" s="8" t="s">
        <x:v>205</x:v>
      </x:c>
      <x:c r="F3" s="85" t="str">
        <x:v>JS vs mese precedente (nat)</x:v>
      </x:c>
      <x:c r="G3" s="85" t="str">
        <x:v>H scenario condizionato(t)</x:v>
      </x:c>
    </x:row>
    <x:row r="4" ht="15" hidden="0" customHeight="1">
      <x:c r="A4" s="5" t="s">
        <x:v>183</x:v>
      </x:c>
      <x:c r="B4" s="5" t="n">
        <x:f aca="0">IF(COUNT(ISCRITTI_STORICO!B4:B23)=20,SUM(ISCRITTI_STORICO!B4:B23),"")</x:f>
        <x:v>156456</x:v>
      </x:c>
      <x:c r="C4" s="42" t="n">
        <x:f aca="0">IF(B4="","",SUM(H_STORICO!B4:B23)/LN(20))</x:f>
        <x:v>0.8984489292021597</x:v>
      </x:c>
      <x:c r="D4" s="42" t="str">
        <x:f aca="0">""</x:f>
      </x:c>
      <x:c r="E4" s="5" t="str">
        <x:f aca="0">IF(B4="","IN ATTESA","COMPLETA")</x:f>
        <x:v>COMPLETA</x:v>
      </x:c>
      <x:c r="F4" s="92"/>
      <x:c r="G4" s="92" t="n">
        <x:f>IF(E4&lt;&gt;"COMPLETA","",SUM(P_H_STORICO!B4:B23)/LN(20))</x:f>
        <x:v>0.8843368983935116</x:v>
      </x:c>
    </x:row>
    <x:row r="5" ht="15" hidden="0" customHeight="1">
      <x:c r="A5" s="5" t="s">
        <x:v>184</x:v>
      </x:c>
      <x:c r="B5" s="5" t="str">
        <x:f aca="0">IF(COUNT(ISCRITTI_STORICO!C4:C23)=20,SUM(ISCRITTI_STORICO!C4:C23),"")</x:f>
      </x:c>
      <x:c r="C5" s="42" t="str">
        <x:f aca="0">IF(B5="","",SUM(H_STORICO!C4:C23)/LN(20))</x:f>
      </x:c>
      <x:c r="D5" s="42" t="str">
        <x:f aca="0">IF(OR(C5="",C4=""),"",C5-C4)</x:f>
      </x:c>
      <x:c r="E5" s="5" t="str">
        <x:f aca="0">IF(B5="","IN ATTESA","COMPLETA")</x:f>
        <x:v>IN ATTESA</x:v>
      </x:c>
      <x:c r="F5" s="92" t="str">
        <x:f>IF(OR(E5&lt;&gt;"COMPLETA",E4&lt;&gt;"COMPLETA"),"",SUM(JS_STORICO!C4:C23))</x:f>
      </x:c>
      <x:c r="G5" s="92" t="str">
        <x:f>IF(E5&lt;&gt;"COMPLETA","",SUM(P_H_STORICO!C4:C23)/LN(20))</x:f>
      </x:c>
    </x:row>
    <x:row r="6" ht="15" hidden="0" customHeight="1">
      <x:c r="A6" s="5" t="s">
        <x:v>185</x:v>
      </x:c>
      <x:c r="B6" s="5" t="str">
        <x:f aca="0">IF(COUNT(ISCRITTI_STORICO!D4:D23)=20,SUM(ISCRITTI_STORICO!D4:D23),"")</x:f>
      </x:c>
      <x:c r="C6" s="42" t="str">
        <x:f aca="0">IF(B6="","",SUM(H_STORICO!D4:D23)/LN(20))</x:f>
      </x:c>
      <x:c r="D6" s="42" t="str">
        <x:f aca="0">IF(OR(C6="",C5=""),"",C6-C5)</x:f>
      </x:c>
      <x:c r="E6" s="5" t="str">
        <x:f aca="0">IF(B6="","IN ATTESA","COMPLETA")</x:f>
        <x:v>IN ATTESA</x:v>
      </x:c>
      <x:c r="F6" s="92" t="str">
        <x:f>IF(OR(E6&lt;&gt;"COMPLETA",E5&lt;&gt;"COMPLETA"),"",SUM(JS_STORICO!D4:D23))</x:f>
      </x:c>
      <x:c r="G6" s="92" t="str">
        <x:f>IF(E6&lt;&gt;"COMPLETA","",SUM(P_H_STORICO!D4:D23)/LN(20))</x:f>
      </x:c>
    </x:row>
    <x:row r="7" ht="15" hidden="0" customHeight="1">
      <x:c r="A7" s="5" t="s">
        <x:v>186</x:v>
      </x:c>
      <x:c r="B7" s="5" t="str">
        <x:f aca="0">IF(COUNT(ISCRITTI_STORICO!E4:E23)=20,SUM(ISCRITTI_STORICO!E4:E23),"")</x:f>
      </x:c>
      <x:c r="C7" s="42" t="str">
        <x:f aca="0">IF(B7="","",SUM(H_STORICO!E4:E23)/LN(20))</x:f>
      </x:c>
      <x:c r="D7" s="42" t="str">
        <x:f aca="0">IF(OR(C7="",C6=""),"",C7-C6)</x:f>
      </x:c>
      <x:c r="E7" s="5" t="str">
        <x:f aca="0">IF(B7="","IN ATTESA","COMPLETA")</x:f>
        <x:v>IN ATTESA</x:v>
      </x:c>
      <x:c r="F7" s="92" t="str">
        <x:f>IF(OR(E7&lt;&gt;"COMPLETA",E6&lt;&gt;"COMPLETA"),"",SUM(JS_STORICO!E4:E23))</x:f>
      </x:c>
      <x:c r="G7" s="92" t="str">
        <x:f>IF(E7&lt;&gt;"COMPLETA","",SUM(P_H_STORICO!E4:E23)/LN(20))</x:f>
      </x:c>
    </x:row>
    <x:row r="8" ht="15" hidden="0" customHeight="1">
      <x:c r="A8" s="5" t="s">
        <x:v>187</x:v>
      </x:c>
      <x:c r="B8" s="5" t="str">
        <x:f aca="0">IF(COUNT(ISCRITTI_STORICO!F4:F23)=20,SUM(ISCRITTI_STORICO!F4:F23),"")</x:f>
      </x:c>
      <x:c r="C8" s="42" t="str">
        <x:f aca="0">IF(B8="","",SUM(H_STORICO!F4:F23)/LN(20))</x:f>
      </x:c>
      <x:c r="D8" s="42" t="str">
        <x:f aca="0">IF(OR(C8="",C7=""),"",C8-C7)</x:f>
      </x:c>
      <x:c r="E8" s="5" t="str">
        <x:f aca="0">IF(B8="","IN ATTESA","COMPLETA")</x:f>
        <x:v>IN ATTESA</x:v>
      </x:c>
      <x:c r="F8" s="92" t="str">
        <x:f>IF(OR(E8&lt;&gt;"COMPLETA",E7&lt;&gt;"COMPLETA"),"",SUM(JS_STORICO!F4:F23))</x:f>
      </x:c>
      <x:c r="G8" s="92" t="str">
        <x:f>IF(E8&lt;&gt;"COMPLETA","",SUM(P_H_STORICO!F4:F23)/LN(20))</x:f>
      </x:c>
    </x:row>
    <x:row r="9" ht="15" hidden="0" customHeight="1">
      <x:c r="A9" s="5" t="s">
        <x:v>188</x:v>
      </x:c>
      <x:c r="B9" s="5" t="str">
        <x:f aca="0">IF(COUNT(ISCRITTI_STORICO!G4:G23)=20,SUM(ISCRITTI_STORICO!G4:G23),"")</x:f>
      </x:c>
      <x:c r="C9" s="42" t="str">
        <x:f aca="0">IF(B9="","",SUM(H_STORICO!G4:G23)/LN(20))</x:f>
      </x:c>
      <x:c r="D9" s="42" t="str">
        <x:f aca="0">IF(OR(C9="",C8=""),"",C9-C8)</x:f>
      </x:c>
      <x:c r="E9" s="5" t="str">
        <x:f aca="0">IF(B9="","IN ATTESA","COMPLETA")</x:f>
        <x:v>IN ATTESA</x:v>
      </x:c>
      <x:c r="F9" s="92" t="str">
        <x:f>IF(OR(E9&lt;&gt;"COMPLETA",E8&lt;&gt;"COMPLETA"),"",SUM(JS_STORICO!G4:G23))</x:f>
      </x:c>
      <x:c r="G9" s="92" t="str">
        <x:f>IF(E9&lt;&gt;"COMPLETA","",SUM(P_H_STORICO!G4:G23)/LN(20))</x:f>
      </x:c>
    </x:row>
    <x:row r="10" ht="15" hidden="0" customHeight="1">
      <x:c r="A10" s="5" t="s">
        <x:v>189</x:v>
      </x:c>
      <x:c r="B10" s="5" t="str">
        <x:f aca="0">IF(COUNT(ISCRITTI_STORICO!H4:H23)=20,SUM(ISCRITTI_STORICO!H4:H23),"")</x:f>
      </x:c>
      <x:c r="C10" s="42" t="str">
        <x:f aca="0">IF(B10="","",SUM(H_STORICO!H4:H23)/LN(20))</x:f>
      </x:c>
      <x:c r="D10" s="42" t="str">
        <x:f aca="0">IF(OR(C10="",C9=""),"",C10-C9)</x:f>
      </x:c>
      <x:c r="E10" s="5" t="str">
        <x:f aca="0">IF(B10="","IN ATTESA","COMPLETA")</x:f>
        <x:v>IN ATTESA</x:v>
      </x:c>
      <x:c r="F10" s="92" t="str">
        <x:f>IF(OR(E10&lt;&gt;"COMPLETA",E9&lt;&gt;"COMPLETA"),"",SUM(JS_STORICO!H4:H23))</x:f>
      </x:c>
      <x:c r="G10" s="92" t="str">
        <x:f>IF(E10&lt;&gt;"COMPLETA","",SUM(P_H_STORICO!H4:H23)/LN(20))</x:f>
      </x:c>
    </x:row>
    <x:row r="11" ht="15" hidden="0" customHeight="1">
      <x:c r="A11" s="5" t="s">
        <x:v>190</x:v>
      </x:c>
      <x:c r="B11" s="5" t="str">
        <x:f aca="0">IF(COUNT(ISCRITTI_STORICO!I4:I23)=20,SUM(ISCRITTI_STORICO!I4:I23),"")</x:f>
      </x:c>
      <x:c r="C11" s="42" t="str">
        <x:f aca="0">IF(B11="","",SUM(H_STORICO!I4:I23)/LN(20))</x:f>
      </x:c>
      <x:c r="D11" s="42" t="str">
        <x:f aca="0">IF(OR(C11="",C10=""),"",C11-C10)</x:f>
      </x:c>
      <x:c r="E11" s="5" t="str">
        <x:f aca="0">IF(B11="","IN ATTESA","COMPLETA")</x:f>
        <x:v>IN ATTESA</x:v>
      </x:c>
      <x:c r="F11" s="92" t="str">
        <x:f>IF(OR(E11&lt;&gt;"COMPLETA",E10&lt;&gt;"COMPLETA"),"",SUM(JS_STORICO!I4:I23))</x:f>
      </x:c>
      <x:c r="G11" s="92" t="str">
        <x:f>IF(E11&lt;&gt;"COMPLETA","",SUM(P_H_STORICO!I4:I23)/LN(20))</x:f>
      </x:c>
    </x:row>
    <x:row r="12" ht="15" hidden="0" customHeight="1">
      <x:c r="A12" s="5" t="s">
        <x:v>191</x:v>
      </x:c>
      <x:c r="B12" s="5" t="str">
        <x:f aca="0">IF(COUNT(ISCRITTI_STORICO!J4:J23)=20,SUM(ISCRITTI_STORICO!J4:J23),"")</x:f>
      </x:c>
      <x:c r="C12" s="42" t="str">
        <x:f aca="0">IF(B12="","",SUM(H_STORICO!J4:J23)/LN(20))</x:f>
      </x:c>
      <x:c r="D12" s="42" t="str">
        <x:f aca="0">IF(OR(C12="",C11=""),"",C12-C11)</x:f>
      </x:c>
      <x:c r="E12" s="5" t="str">
        <x:f aca="0">IF(B12="","IN ATTESA","COMPLETA")</x:f>
        <x:v>IN ATTESA</x:v>
      </x:c>
      <x:c r="F12" s="92" t="str">
        <x:f>IF(OR(E12&lt;&gt;"COMPLETA",E11&lt;&gt;"COMPLETA"),"",SUM(JS_STORICO!J4:J23))</x:f>
      </x:c>
      <x:c r="G12" s="92" t="str">
        <x:f>IF(E12&lt;&gt;"COMPLETA","",SUM(P_H_STORICO!J4:J23)/LN(20))</x:f>
      </x:c>
    </x:row>
    <x:row r="13" ht="15" hidden="0" customHeight="1">
      <x:c r="A13" s="5" t="s">
        <x:v>192</x:v>
      </x:c>
      <x:c r="B13" s="5" t="str">
        <x:f aca="0">IF(COUNT(ISCRITTI_STORICO!K4:K23)=20,SUM(ISCRITTI_STORICO!K4:K23),"")</x:f>
      </x:c>
      <x:c r="C13" s="42" t="str">
        <x:f aca="0">IF(B13="","",SUM(H_STORICO!K4:K23)/LN(20))</x:f>
      </x:c>
      <x:c r="D13" s="42" t="str">
        <x:f aca="0">IF(OR(C13="",C12=""),"",C13-C12)</x:f>
      </x:c>
      <x:c r="E13" s="5" t="str">
        <x:f aca="0">IF(B13="","IN ATTESA","COMPLETA")</x:f>
        <x:v>IN ATTESA</x:v>
      </x:c>
      <x:c r="F13" s="92" t="str">
        <x:f>IF(OR(E13&lt;&gt;"COMPLETA",E12&lt;&gt;"COMPLETA"),"",SUM(JS_STORICO!K4:K23))</x:f>
      </x:c>
      <x:c r="G13" s="92" t="str">
        <x:f>IF(E13&lt;&gt;"COMPLETA","",SUM(P_H_STORICO!K4:K23)/LN(20))</x:f>
      </x:c>
    </x:row>
    <x:row r="14" ht="15" hidden="0" customHeight="1">
      <x:c r="A14" s="5" t="s">
        <x:v>193</x:v>
      </x:c>
      <x:c r="B14" s="5" t="str">
        <x:f aca="0">IF(COUNT(ISCRITTI_STORICO!L4:L23)=20,SUM(ISCRITTI_STORICO!L4:L23),"")</x:f>
      </x:c>
      <x:c r="C14" s="42" t="str">
        <x:f aca="0">IF(B14="","",SUM(H_STORICO!L4:L23)/LN(20))</x:f>
      </x:c>
      <x:c r="D14" s="42" t="str">
        <x:f aca="0">IF(OR(C14="",C13=""),"",C14-C13)</x:f>
      </x:c>
      <x:c r="E14" s="5" t="str">
        <x:f aca="0">IF(B14="","IN ATTESA","COMPLETA")</x:f>
        <x:v>IN ATTESA</x:v>
      </x:c>
      <x:c r="F14" s="92" t="str">
        <x:f>IF(OR(E14&lt;&gt;"COMPLETA",E13&lt;&gt;"COMPLETA"),"",SUM(JS_STORICO!L4:L23))</x:f>
      </x:c>
      <x:c r="G14" s="92" t="str">
        <x:f>IF(E14&lt;&gt;"COMPLETA","",SUM(P_H_STORICO!L4:L23)/LN(20))</x:f>
      </x:c>
    </x:row>
    <x:row r="15" ht="15" hidden="0" customHeight="1">
      <x:c r="A15" s="5" t="s">
        <x:v>194</x:v>
      </x:c>
      <x:c r="B15" s="5" t="str">
        <x:f aca="0">IF(COUNT(ISCRITTI_STORICO!M4:M23)=20,SUM(ISCRITTI_STORICO!M4:M23),"")</x:f>
      </x:c>
      <x:c r="C15" s="42" t="str">
        <x:f aca="0">IF(B15="","",SUM(H_STORICO!M4:M23)/LN(20))</x:f>
      </x:c>
      <x:c r="D15" s="42" t="str">
        <x:f aca="0">IF(OR(C15="",C14=""),"",C15-C14)</x:f>
      </x:c>
      <x:c r="E15" s="5" t="str">
        <x:f aca="0">IF(B15="","IN ATTESA","COMPLETA")</x:f>
        <x:v>IN ATTESA</x:v>
      </x:c>
      <x:c r="F15" s="92" t="str">
        <x:f>IF(OR(E15&lt;&gt;"COMPLETA",E14&lt;&gt;"COMPLETA"),"",SUM(JS_STORICO!M4:M23))</x:f>
      </x:c>
      <x:c r="G15" s="92" t="str">
        <x:f>IF(E15&lt;&gt;"COMPLETA","",SUM(P_H_STORICO!M4:M23)/LN(20))</x:f>
      </x:c>
    </x:row>
    <x:row r="16" ht="15" hidden="0" customHeight="1">
      <x:c r="A16" s="5" t="s">
        <x:v>195</x:v>
      </x:c>
      <x:c r="B16" s="5" t="str">
        <x:f aca="0">IF(COUNT(ISCRITTI_STORICO!N4:N23)=20,SUM(ISCRITTI_STORICO!N4:N23),"")</x:f>
      </x:c>
      <x:c r="C16" s="42" t="str">
        <x:f aca="0">IF(B16="","",SUM(H_STORICO!N4:N23)/LN(20))</x:f>
      </x:c>
      <x:c r="D16" s="42" t="str">
        <x:f aca="0">IF(OR(C16="",C15=""),"",C16-C15)</x:f>
      </x:c>
      <x:c r="E16" s="5" t="str">
        <x:f aca="0">IF(B16="","IN ATTESA","COMPLETA")</x:f>
        <x:v>IN ATTESA</x:v>
      </x:c>
      <x:c r="F16" s="92" t="str">
        <x:f>IF(OR(E16&lt;&gt;"COMPLETA",E15&lt;&gt;"COMPLETA"),"",SUM(JS_STORICO!N4:N23))</x:f>
      </x:c>
      <x:c r="G16" s="92" t="str">
        <x:f>IF(E16&lt;&gt;"COMPLETA","",SUM(P_H_STORICO!N4:N23)/LN(20))</x:f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ColWidth="8.6796875" defaultRowHeight="15"/>
  <x:cols>
    <x:col min="1" max="1" width="30" style="5" hidden="0" customWidth="1"/>
    <x:col min="2" max="2" width="35" style="5" hidden="0" customWidth="1"/>
    <x:col min="3" max="3" width="62" style="5" hidden="0" customWidth="1"/>
    <x:col min="4" max="4" width="57" style="5" hidden="0" customWidth="1"/>
  </x:cols>
  <x:sheetData>
    <x:row r="1" ht="36" hidden="0" customHeight="1">
      <x:c r="A1" s="6" t="s">
        <x:v>206</x:v>
      </x:c>
      <x:c r="B1" s="6"/>
      <x:c r="C1" s="6"/>
      <x:c r="D1" s="6"/>
    </x:row>
    <x:row r="2" ht="24.75" hidden="0" customHeight="1">
      <x:c r="A2" s="7" t="s">
        <x:v>207</x:v>
      </x:c>
      <x:c r="B2" s="7"/>
      <x:c r="C2" s="7"/>
      <x:c r="D2" s="7"/>
    </x:row>
    <x:row r="3" ht="33.75" hidden="0" customHeight="1">
      <x:c r="A3" s="8" t="s">
        <x:v>208</x:v>
      </x:c>
      <x:c r="B3" s="8" t="s">
        <x:v>209</x:v>
      </x:c>
      <x:c r="C3" s="8" t="s">
        <x:v>210</x:v>
      </x:c>
      <x:c r="D3" s="8" t="s">
        <x:v>211</x:v>
      </x:c>
    </x:row>
    <x:row r="4" ht="48.75" hidden="0" customHeight="1">
      <x:c r="A4" s="43" t="s">
        <x:v>212</x:v>
      </x:c>
      <x:c r="B4" s="43" t="s">
        <x:v>213</x:v>
      </x:c>
      <x:c r="C4" s="43" t="s">
        <x:v>214</x:v>
      </x:c>
      <x:c r="D4" s="43" t="s">
        <x:v>215</x:v>
      </x:c>
    </x:row>
    <x:row r="5" ht="48.75" hidden="0" customHeight="1">
      <x:c r="A5" s="43" t="s">
        <x:v>216</x:v>
      </x:c>
      <x:c r="B5" s="43" t="s">
        <x:v>217</x:v>
      </x:c>
      <x:c r="C5" s="43" t="s">
        <x:v>218</x:v>
      </x:c>
      <x:c r="D5" s="43" t="s">
        <x:v>219</x:v>
      </x:c>
    </x:row>
    <x:row r="6" ht="48.75" hidden="0" customHeight="1">
      <x:c r="A6" s="43" t="s">
        <x:v>220</x:v>
      </x:c>
      <x:c r="B6" s="43" t="s">
        <x:v>221</x:v>
      </x:c>
      <x:c r="C6" s="43" t="s">
        <x:v>222</x:v>
      </x:c>
      <x:c r="D6" s="43" t="s">
        <x:v>223</x:v>
      </x:c>
    </x:row>
    <x:row r="7" ht="48.75" hidden="0" customHeight="1">
      <x:c r="A7" s="43" t="s">
        <x:v>224</x:v>
      </x:c>
      <x:c r="B7" s="43" t="s">
        <x:v>225</x:v>
      </x:c>
      <x:c r="C7" s="43" t="s">
        <x:v>226</x:v>
      </x:c>
      <x:c r="D7" s="43" t="s">
        <x:v>227</x:v>
      </x:c>
    </x:row>
    <x:row r="8" ht="48.75" hidden="0" customHeight="1">
      <x:c r="A8" s="43" t="s">
        <x:v>228</x:v>
      </x:c>
      <x:c r="B8" s="43" t="s">
        <x:v>229</x:v>
      </x:c>
      <x:c r="C8" s="43" t="s">
        <x:v>230</x:v>
      </x:c>
      <x:c r="D8" s="43" t="s">
        <x:v>231</x:v>
      </x:c>
    </x:row>
    <x:row r="9" ht="48.75" hidden="0" customHeight="1">
      <x:c r="A9" s="43" t="s">
        <x:v>232</x:v>
      </x:c>
      <x:c r="B9" s="43" t="s">
        <x:v>233</x:v>
      </x:c>
      <x:c r="C9" s="43" t="s">
        <x:v>234</x:v>
      </x:c>
      <x:c r="D9" s="43" t="s">
        <x:v>235</x:v>
      </x:c>
    </x:row>
    <x:row r="10" ht="48.75" hidden="0" customHeight="1">
      <x:c r="A10" s="43" t="s">
        <x:v>236</x:v>
      </x:c>
      <x:c r="B10" s="43" t="s">
        <x:v>237</x:v>
      </x:c>
      <x:c r="C10" s="43" t="s">
        <x:v>238</x:v>
      </x:c>
      <x:c r="D10" s="43" t="s">
        <x:v>239</x:v>
      </x:c>
    </x:row>
    <x:row r="11" ht="48.75" hidden="0" customHeight="1">
      <x:c r="A11" s="43" t="s">
        <x:v>240</x:v>
      </x:c>
      <x:c r="B11" s="43" t="s">
        <x:v>241</x:v>
      </x:c>
      <x:c r="C11" s="43" t="s">
        <x:v>242</x:v>
      </x:c>
      <x:c r="D11" s="43" t="s">
        <x:v>243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9" customHeight="1">
      <x:c r="A1" s="85" t="str">
        <x:v>JENSEN-SHANNON MENSILE - contributi per regione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</x:row>
    <x:row r="3">
      <x:c r="A3" s="89" t="str">
        <x:v>Regione</x:v>
      </x:c>
      <x:c r="B3" s="89" t="str">
        <x:v>10/2026</x:v>
      </x:c>
      <x:c r="C3" s="89" t="str">
        <x:v>11/2026</x:v>
      </x:c>
      <x:c r="D3" s="89" t="str">
        <x:v>12/2026</x:v>
      </x:c>
      <x:c r="E3" s="89" t="str">
        <x:v>01/2027</x:v>
      </x:c>
      <x:c r="F3" s="89" t="str">
        <x:v>02/2027</x:v>
      </x:c>
      <x:c r="G3" s="89" t="str">
        <x:v>03/2027</x:v>
      </x:c>
      <x:c r="H3" s="89" t="str">
        <x:v>04/2027</x:v>
      </x:c>
      <x:c r="I3" s="89" t="str">
        <x:v>05/2027</x:v>
      </x:c>
      <x:c r="J3" s="89" t="str">
        <x:v>06/2027</x:v>
      </x:c>
      <x:c r="K3" s="89" t="str">
        <x:v>07/2027</x:v>
      </x:c>
      <x:c r="L3" s="89" t="str">
        <x:v>08/2027</x:v>
      </x:c>
      <x:c r="M3" s="89" t="str">
        <x:v>09/2027</x:v>
      </x:c>
      <x:c r="N3" s="89" t="str">
        <x:v>10/2027</x:v>
      </x:c>
    </x:row>
    <x:row r="4">
      <x:c r="A4" t="str">
        <x:v>Piemonte</x:v>
      </x:c>
      <x:c r="B4" s="92"/>
      <x:c r="C4" s="92" t="str">
        <x:f>IF(OR(QUOTE_STORICO!C4="",QUOTE_STORICO!B4=""),"",IF(QUOTE_STORICO!C4=0,0,QUOTE_STORICO!C4*LN(2*QUOTE_STORICO!C4/(QUOTE_STORICO!C4+QUOTE_STORICO!B4)))/2+IF(QUOTE_STORICO!B4=0,0,QUOTE_STORICO!B4*LN(2*QUOTE_STORICO!B4/(QUOTE_STORICO!C4+QUOTE_STORICO!B4)))/2)</x:f>
      </x:c>
      <x:c r="D4" s="92" t="str">
        <x:f>IF(OR(QUOTE_STORICO!D4="",QUOTE_STORICO!C4=""),"",IF(QUOTE_STORICO!D4=0,0,QUOTE_STORICO!D4*LN(2*QUOTE_STORICO!D4/(QUOTE_STORICO!D4+QUOTE_STORICO!C4)))/2+IF(QUOTE_STORICO!C4=0,0,QUOTE_STORICO!C4*LN(2*QUOTE_STORICO!C4/(QUOTE_STORICO!D4+QUOTE_STORICO!C4)))/2)</x:f>
      </x:c>
      <x:c r="E4" s="92" t="str">
        <x:f>IF(OR(QUOTE_STORICO!E4="",QUOTE_STORICO!D4=""),"",IF(QUOTE_STORICO!E4=0,0,QUOTE_STORICO!E4*LN(2*QUOTE_STORICO!E4/(QUOTE_STORICO!E4+QUOTE_STORICO!D4)))/2+IF(QUOTE_STORICO!D4=0,0,QUOTE_STORICO!D4*LN(2*QUOTE_STORICO!D4/(QUOTE_STORICO!E4+QUOTE_STORICO!D4)))/2)</x:f>
      </x:c>
      <x:c r="F4" s="92" t="str">
        <x:f>IF(OR(QUOTE_STORICO!F4="",QUOTE_STORICO!E4=""),"",IF(QUOTE_STORICO!F4=0,0,QUOTE_STORICO!F4*LN(2*QUOTE_STORICO!F4/(QUOTE_STORICO!F4+QUOTE_STORICO!E4)))/2+IF(QUOTE_STORICO!E4=0,0,QUOTE_STORICO!E4*LN(2*QUOTE_STORICO!E4/(QUOTE_STORICO!F4+QUOTE_STORICO!E4)))/2)</x:f>
      </x:c>
      <x:c r="G4" s="92" t="str">
        <x:f>IF(OR(QUOTE_STORICO!G4="",QUOTE_STORICO!F4=""),"",IF(QUOTE_STORICO!G4=0,0,QUOTE_STORICO!G4*LN(2*QUOTE_STORICO!G4/(QUOTE_STORICO!G4+QUOTE_STORICO!F4)))/2+IF(QUOTE_STORICO!F4=0,0,QUOTE_STORICO!F4*LN(2*QUOTE_STORICO!F4/(QUOTE_STORICO!G4+QUOTE_STORICO!F4)))/2)</x:f>
      </x:c>
      <x:c r="H4" s="92" t="str">
        <x:f>IF(OR(QUOTE_STORICO!H4="",QUOTE_STORICO!G4=""),"",IF(QUOTE_STORICO!H4=0,0,QUOTE_STORICO!H4*LN(2*QUOTE_STORICO!H4/(QUOTE_STORICO!H4+QUOTE_STORICO!G4)))/2+IF(QUOTE_STORICO!G4=0,0,QUOTE_STORICO!G4*LN(2*QUOTE_STORICO!G4/(QUOTE_STORICO!H4+QUOTE_STORICO!G4)))/2)</x:f>
      </x:c>
      <x:c r="I4" s="92" t="str">
        <x:f>IF(OR(QUOTE_STORICO!I4="",QUOTE_STORICO!H4=""),"",IF(QUOTE_STORICO!I4=0,0,QUOTE_STORICO!I4*LN(2*QUOTE_STORICO!I4/(QUOTE_STORICO!I4+QUOTE_STORICO!H4)))/2+IF(QUOTE_STORICO!H4=0,0,QUOTE_STORICO!H4*LN(2*QUOTE_STORICO!H4/(QUOTE_STORICO!I4+QUOTE_STORICO!H4)))/2)</x:f>
      </x:c>
      <x:c r="J4" s="92" t="str">
        <x:f>IF(OR(QUOTE_STORICO!J4="",QUOTE_STORICO!I4=""),"",IF(QUOTE_STORICO!J4=0,0,QUOTE_STORICO!J4*LN(2*QUOTE_STORICO!J4/(QUOTE_STORICO!J4+QUOTE_STORICO!I4)))/2+IF(QUOTE_STORICO!I4=0,0,QUOTE_STORICO!I4*LN(2*QUOTE_STORICO!I4/(QUOTE_STORICO!J4+QUOTE_STORICO!I4)))/2)</x:f>
      </x:c>
      <x:c r="K4" s="92" t="str">
        <x:f>IF(OR(QUOTE_STORICO!K4="",QUOTE_STORICO!J4=""),"",IF(QUOTE_STORICO!K4=0,0,QUOTE_STORICO!K4*LN(2*QUOTE_STORICO!K4/(QUOTE_STORICO!K4+QUOTE_STORICO!J4)))/2+IF(QUOTE_STORICO!J4=0,0,QUOTE_STORICO!J4*LN(2*QUOTE_STORICO!J4/(QUOTE_STORICO!K4+QUOTE_STORICO!J4)))/2)</x:f>
      </x:c>
      <x:c r="L4" s="92" t="str">
        <x:f>IF(OR(QUOTE_STORICO!L4="",QUOTE_STORICO!K4=""),"",IF(QUOTE_STORICO!L4=0,0,QUOTE_STORICO!L4*LN(2*QUOTE_STORICO!L4/(QUOTE_STORICO!L4+QUOTE_STORICO!K4)))/2+IF(QUOTE_STORICO!K4=0,0,QUOTE_STORICO!K4*LN(2*QUOTE_STORICO!K4/(QUOTE_STORICO!L4+QUOTE_STORICO!K4)))/2)</x:f>
      </x:c>
      <x:c r="M4" s="92" t="str">
        <x:f>IF(OR(QUOTE_STORICO!M4="",QUOTE_STORICO!L4=""),"",IF(QUOTE_STORICO!M4=0,0,QUOTE_STORICO!M4*LN(2*QUOTE_STORICO!M4/(QUOTE_STORICO!M4+QUOTE_STORICO!L4)))/2+IF(QUOTE_STORICO!L4=0,0,QUOTE_STORICO!L4*LN(2*QUOTE_STORICO!L4/(QUOTE_STORICO!M4+QUOTE_STORICO!L4)))/2)</x:f>
      </x:c>
      <x:c r="N4" s="92" t="str">
        <x:f>IF(OR(QUOTE_STORICO!N4="",QUOTE_STORICO!M4=""),"",IF(QUOTE_STORICO!N4=0,0,QUOTE_STORICO!N4*LN(2*QUOTE_STORICO!N4/(QUOTE_STORICO!N4+QUOTE_STORICO!M4)))/2+IF(QUOTE_STORICO!M4=0,0,QUOTE_STORICO!M4*LN(2*QUOTE_STORICO!M4/(QUOTE_STORICO!N4+QUOTE_STORICO!M4)))/2)</x:f>
      </x:c>
    </x:row>
    <x:row r="5">
      <x:c r="A5" t="str">
        <x:v>Valle d'Aosta</x:v>
      </x:c>
      <x:c r="B5" s="92"/>
      <x:c r="C5" s="92" t="str">
        <x:f>IF(OR(QUOTE_STORICO!C5="",QUOTE_STORICO!B5=""),"",IF(QUOTE_STORICO!C5=0,0,QUOTE_STORICO!C5*LN(2*QUOTE_STORICO!C5/(QUOTE_STORICO!C5+QUOTE_STORICO!B5)))/2+IF(QUOTE_STORICO!B5=0,0,QUOTE_STORICO!B5*LN(2*QUOTE_STORICO!B5/(QUOTE_STORICO!C5+QUOTE_STORICO!B5)))/2)</x:f>
      </x:c>
      <x:c r="D5" s="92" t="str">
        <x:f>IF(OR(QUOTE_STORICO!D5="",QUOTE_STORICO!C5=""),"",IF(QUOTE_STORICO!D5=0,0,QUOTE_STORICO!D5*LN(2*QUOTE_STORICO!D5/(QUOTE_STORICO!D5+QUOTE_STORICO!C5)))/2+IF(QUOTE_STORICO!C5=0,0,QUOTE_STORICO!C5*LN(2*QUOTE_STORICO!C5/(QUOTE_STORICO!D5+QUOTE_STORICO!C5)))/2)</x:f>
      </x:c>
      <x:c r="E5" s="92" t="str">
        <x:f>IF(OR(QUOTE_STORICO!E5="",QUOTE_STORICO!D5=""),"",IF(QUOTE_STORICO!E5=0,0,QUOTE_STORICO!E5*LN(2*QUOTE_STORICO!E5/(QUOTE_STORICO!E5+QUOTE_STORICO!D5)))/2+IF(QUOTE_STORICO!D5=0,0,QUOTE_STORICO!D5*LN(2*QUOTE_STORICO!D5/(QUOTE_STORICO!E5+QUOTE_STORICO!D5)))/2)</x:f>
      </x:c>
      <x:c r="F5" s="92" t="str">
        <x:f>IF(OR(QUOTE_STORICO!F5="",QUOTE_STORICO!E5=""),"",IF(QUOTE_STORICO!F5=0,0,QUOTE_STORICO!F5*LN(2*QUOTE_STORICO!F5/(QUOTE_STORICO!F5+QUOTE_STORICO!E5)))/2+IF(QUOTE_STORICO!E5=0,0,QUOTE_STORICO!E5*LN(2*QUOTE_STORICO!E5/(QUOTE_STORICO!F5+QUOTE_STORICO!E5)))/2)</x:f>
      </x:c>
      <x:c r="G5" s="92" t="str">
        <x:f>IF(OR(QUOTE_STORICO!G5="",QUOTE_STORICO!F5=""),"",IF(QUOTE_STORICO!G5=0,0,QUOTE_STORICO!G5*LN(2*QUOTE_STORICO!G5/(QUOTE_STORICO!G5+QUOTE_STORICO!F5)))/2+IF(QUOTE_STORICO!F5=0,0,QUOTE_STORICO!F5*LN(2*QUOTE_STORICO!F5/(QUOTE_STORICO!G5+QUOTE_STORICO!F5)))/2)</x:f>
      </x:c>
      <x:c r="H5" s="92" t="str">
        <x:f>IF(OR(QUOTE_STORICO!H5="",QUOTE_STORICO!G5=""),"",IF(QUOTE_STORICO!H5=0,0,QUOTE_STORICO!H5*LN(2*QUOTE_STORICO!H5/(QUOTE_STORICO!H5+QUOTE_STORICO!G5)))/2+IF(QUOTE_STORICO!G5=0,0,QUOTE_STORICO!G5*LN(2*QUOTE_STORICO!G5/(QUOTE_STORICO!H5+QUOTE_STORICO!G5)))/2)</x:f>
      </x:c>
      <x:c r="I5" s="92" t="str">
        <x:f>IF(OR(QUOTE_STORICO!I5="",QUOTE_STORICO!H5=""),"",IF(QUOTE_STORICO!I5=0,0,QUOTE_STORICO!I5*LN(2*QUOTE_STORICO!I5/(QUOTE_STORICO!I5+QUOTE_STORICO!H5)))/2+IF(QUOTE_STORICO!H5=0,0,QUOTE_STORICO!H5*LN(2*QUOTE_STORICO!H5/(QUOTE_STORICO!I5+QUOTE_STORICO!H5)))/2)</x:f>
      </x:c>
      <x:c r="J5" s="92" t="str">
        <x:f>IF(OR(QUOTE_STORICO!J5="",QUOTE_STORICO!I5=""),"",IF(QUOTE_STORICO!J5=0,0,QUOTE_STORICO!J5*LN(2*QUOTE_STORICO!J5/(QUOTE_STORICO!J5+QUOTE_STORICO!I5)))/2+IF(QUOTE_STORICO!I5=0,0,QUOTE_STORICO!I5*LN(2*QUOTE_STORICO!I5/(QUOTE_STORICO!J5+QUOTE_STORICO!I5)))/2)</x:f>
      </x:c>
      <x:c r="K5" s="92" t="str">
        <x:f>IF(OR(QUOTE_STORICO!K5="",QUOTE_STORICO!J5=""),"",IF(QUOTE_STORICO!K5=0,0,QUOTE_STORICO!K5*LN(2*QUOTE_STORICO!K5/(QUOTE_STORICO!K5+QUOTE_STORICO!J5)))/2+IF(QUOTE_STORICO!J5=0,0,QUOTE_STORICO!J5*LN(2*QUOTE_STORICO!J5/(QUOTE_STORICO!K5+QUOTE_STORICO!J5)))/2)</x:f>
      </x:c>
      <x:c r="L5" s="92" t="str">
        <x:f>IF(OR(QUOTE_STORICO!L5="",QUOTE_STORICO!K5=""),"",IF(QUOTE_STORICO!L5=0,0,QUOTE_STORICO!L5*LN(2*QUOTE_STORICO!L5/(QUOTE_STORICO!L5+QUOTE_STORICO!K5)))/2+IF(QUOTE_STORICO!K5=0,0,QUOTE_STORICO!K5*LN(2*QUOTE_STORICO!K5/(QUOTE_STORICO!L5+QUOTE_STORICO!K5)))/2)</x:f>
      </x:c>
      <x:c r="M5" s="92" t="str">
        <x:f>IF(OR(QUOTE_STORICO!M5="",QUOTE_STORICO!L5=""),"",IF(QUOTE_STORICO!M5=0,0,QUOTE_STORICO!M5*LN(2*QUOTE_STORICO!M5/(QUOTE_STORICO!M5+QUOTE_STORICO!L5)))/2+IF(QUOTE_STORICO!L5=0,0,QUOTE_STORICO!L5*LN(2*QUOTE_STORICO!L5/(QUOTE_STORICO!M5+QUOTE_STORICO!L5)))/2)</x:f>
      </x:c>
      <x:c r="N5" s="92" t="str">
        <x:f>IF(OR(QUOTE_STORICO!N5="",QUOTE_STORICO!M5=""),"",IF(QUOTE_STORICO!N5=0,0,QUOTE_STORICO!N5*LN(2*QUOTE_STORICO!N5/(QUOTE_STORICO!N5+QUOTE_STORICO!M5)))/2+IF(QUOTE_STORICO!M5=0,0,QUOTE_STORICO!M5*LN(2*QUOTE_STORICO!M5/(QUOTE_STORICO!N5+QUOTE_STORICO!M5)))/2)</x:f>
      </x:c>
    </x:row>
    <x:row r="6">
      <x:c r="A6" t="str">
        <x:v>Liguria</x:v>
      </x:c>
      <x:c r="B6" s="92"/>
      <x:c r="C6" s="92" t="str">
        <x:f>IF(OR(QUOTE_STORICO!C6="",QUOTE_STORICO!B6=""),"",IF(QUOTE_STORICO!C6=0,0,QUOTE_STORICO!C6*LN(2*QUOTE_STORICO!C6/(QUOTE_STORICO!C6+QUOTE_STORICO!B6)))/2+IF(QUOTE_STORICO!B6=0,0,QUOTE_STORICO!B6*LN(2*QUOTE_STORICO!B6/(QUOTE_STORICO!C6+QUOTE_STORICO!B6)))/2)</x:f>
      </x:c>
      <x:c r="D6" s="92" t="str">
        <x:f>IF(OR(QUOTE_STORICO!D6="",QUOTE_STORICO!C6=""),"",IF(QUOTE_STORICO!D6=0,0,QUOTE_STORICO!D6*LN(2*QUOTE_STORICO!D6/(QUOTE_STORICO!D6+QUOTE_STORICO!C6)))/2+IF(QUOTE_STORICO!C6=0,0,QUOTE_STORICO!C6*LN(2*QUOTE_STORICO!C6/(QUOTE_STORICO!D6+QUOTE_STORICO!C6)))/2)</x:f>
      </x:c>
      <x:c r="E6" s="92" t="str">
        <x:f>IF(OR(QUOTE_STORICO!E6="",QUOTE_STORICO!D6=""),"",IF(QUOTE_STORICO!E6=0,0,QUOTE_STORICO!E6*LN(2*QUOTE_STORICO!E6/(QUOTE_STORICO!E6+QUOTE_STORICO!D6)))/2+IF(QUOTE_STORICO!D6=0,0,QUOTE_STORICO!D6*LN(2*QUOTE_STORICO!D6/(QUOTE_STORICO!E6+QUOTE_STORICO!D6)))/2)</x:f>
      </x:c>
      <x:c r="F6" s="92" t="str">
        <x:f>IF(OR(QUOTE_STORICO!F6="",QUOTE_STORICO!E6=""),"",IF(QUOTE_STORICO!F6=0,0,QUOTE_STORICO!F6*LN(2*QUOTE_STORICO!F6/(QUOTE_STORICO!F6+QUOTE_STORICO!E6)))/2+IF(QUOTE_STORICO!E6=0,0,QUOTE_STORICO!E6*LN(2*QUOTE_STORICO!E6/(QUOTE_STORICO!F6+QUOTE_STORICO!E6)))/2)</x:f>
      </x:c>
      <x:c r="G6" s="92" t="str">
        <x:f>IF(OR(QUOTE_STORICO!G6="",QUOTE_STORICO!F6=""),"",IF(QUOTE_STORICO!G6=0,0,QUOTE_STORICO!G6*LN(2*QUOTE_STORICO!G6/(QUOTE_STORICO!G6+QUOTE_STORICO!F6)))/2+IF(QUOTE_STORICO!F6=0,0,QUOTE_STORICO!F6*LN(2*QUOTE_STORICO!F6/(QUOTE_STORICO!G6+QUOTE_STORICO!F6)))/2)</x:f>
      </x:c>
      <x:c r="H6" s="92" t="str">
        <x:f>IF(OR(QUOTE_STORICO!H6="",QUOTE_STORICO!G6=""),"",IF(QUOTE_STORICO!H6=0,0,QUOTE_STORICO!H6*LN(2*QUOTE_STORICO!H6/(QUOTE_STORICO!H6+QUOTE_STORICO!G6)))/2+IF(QUOTE_STORICO!G6=0,0,QUOTE_STORICO!G6*LN(2*QUOTE_STORICO!G6/(QUOTE_STORICO!H6+QUOTE_STORICO!G6)))/2)</x:f>
      </x:c>
      <x:c r="I6" s="92" t="str">
        <x:f>IF(OR(QUOTE_STORICO!I6="",QUOTE_STORICO!H6=""),"",IF(QUOTE_STORICO!I6=0,0,QUOTE_STORICO!I6*LN(2*QUOTE_STORICO!I6/(QUOTE_STORICO!I6+QUOTE_STORICO!H6)))/2+IF(QUOTE_STORICO!H6=0,0,QUOTE_STORICO!H6*LN(2*QUOTE_STORICO!H6/(QUOTE_STORICO!I6+QUOTE_STORICO!H6)))/2)</x:f>
      </x:c>
      <x:c r="J6" s="92" t="str">
        <x:f>IF(OR(QUOTE_STORICO!J6="",QUOTE_STORICO!I6=""),"",IF(QUOTE_STORICO!J6=0,0,QUOTE_STORICO!J6*LN(2*QUOTE_STORICO!J6/(QUOTE_STORICO!J6+QUOTE_STORICO!I6)))/2+IF(QUOTE_STORICO!I6=0,0,QUOTE_STORICO!I6*LN(2*QUOTE_STORICO!I6/(QUOTE_STORICO!J6+QUOTE_STORICO!I6)))/2)</x:f>
      </x:c>
      <x:c r="K6" s="92" t="str">
        <x:f>IF(OR(QUOTE_STORICO!K6="",QUOTE_STORICO!J6=""),"",IF(QUOTE_STORICO!K6=0,0,QUOTE_STORICO!K6*LN(2*QUOTE_STORICO!K6/(QUOTE_STORICO!K6+QUOTE_STORICO!J6)))/2+IF(QUOTE_STORICO!J6=0,0,QUOTE_STORICO!J6*LN(2*QUOTE_STORICO!J6/(QUOTE_STORICO!K6+QUOTE_STORICO!J6)))/2)</x:f>
      </x:c>
      <x:c r="L6" s="92" t="str">
        <x:f>IF(OR(QUOTE_STORICO!L6="",QUOTE_STORICO!K6=""),"",IF(QUOTE_STORICO!L6=0,0,QUOTE_STORICO!L6*LN(2*QUOTE_STORICO!L6/(QUOTE_STORICO!L6+QUOTE_STORICO!K6)))/2+IF(QUOTE_STORICO!K6=0,0,QUOTE_STORICO!K6*LN(2*QUOTE_STORICO!K6/(QUOTE_STORICO!L6+QUOTE_STORICO!K6)))/2)</x:f>
      </x:c>
      <x:c r="M6" s="92" t="str">
        <x:f>IF(OR(QUOTE_STORICO!M6="",QUOTE_STORICO!L6=""),"",IF(QUOTE_STORICO!M6=0,0,QUOTE_STORICO!M6*LN(2*QUOTE_STORICO!M6/(QUOTE_STORICO!M6+QUOTE_STORICO!L6)))/2+IF(QUOTE_STORICO!L6=0,0,QUOTE_STORICO!L6*LN(2*QUOTE_STORICO!L6/(QUOTE_STORICO!M6+QUOTE_STORICO!L6)))/2)</x:f>
      </x:c>
      <x:c r="N6" s="92" t="str">
        <x:f>IF(OR(QUOTE_STORICO!N6="",QUOTE_STORICO!M6=""),"",IF(QUOTE_STORICO!N6=0,0,QUOTE_STORICO!N6*LN(2*QUOTE_STORICO!N6/(QUOTE_STORICO!N6+QUOTE_STORICO!M6)))/2+IF(QUOTE_STORICO!M6=0,0,QUOTE_STORICO!M6*LN(2*QUOTE_STORICO!M6/(QUOTE_STORICO!N6+QUOTE_STORICO!M6)))/2)</x:f>
      </x:c>
    </x:row>
    <x:row r="7">
      <x:c r="A7" t="str">
        <x:v>Lombardia</x:v>
      </x:c>
      <x:c r="B7" s="92"/>
      <x:c r="C7" s="92" t="str">
        <x:f>IF(OR(QUOTE_STORICO!C7="",QUOTE_STORICO!B7=""),"",IF(QUOTE_STORICO!C7=0,0,QUOTE_STORICO!C7*LN(2*QUOTE_STORICO!C7/(QUOTE_STORICO!C7+QUOTE_STORICO!B7)))/2+IF(QUOTE_STORICO!B7=0,0,QUOTE_STORICO!B7*LN(2*QUOTE_STORICO!B7/(QUOTE_STORICO!C7+QUOTE_STORICO!B7)))/2)</x:f>
      </x:c>
      <x:c r="D7" s="92" t="str">
        <x:f>IF(OR(QUOTE_STORICO!D7="",QUOTE_STORICO!C7=""),"",IF(QUOTE_STORICO!D7=0,0,QUOTE_STORICO!D7*LN(2*QUOTE_STORICO!D7/(QUOTE_STORICO!D7+QUOTE_STORICO!C7)))/2+IF(QUOTE_STORICO!C7=0,0,QUOTE_STORICO!C7*LN(2*QUOTE_STORICO!C7/(QUOTE_STORICO!D7+QUOTE_STORICO!C7)))/2)</x:f>
      </x:c>
      <x:c r="E7" s="92" t="str">
        <x:f>IF(OR(QUOTE_STORICO!E7="",QUOTE_STORICO!D7=""),"",IF(QUOTE_STORICO!E7=0,0,QUOTE_STORICO!E7*LN(2*QUOTE_STORICO!E7/(QUOTE_STORICO!E7+QUOTE_STORICO!D7)))/2+IF(QUOTE_STORICO!D7=0,0,QUOTE_STORICO!D7*LN(2*QUOTE_STORICO!D7/(QUOTE_STORICO!E7+QUOTE_STORICO!D7)))/2)</x:f>
      </x:c>
      <x:c r="F7" s="92" t="str">
        <x:f>IF(OR(QUOTE_STORICO!F7="",QUOTE_STORICO!E7=""),"",IF(QUOTE_STORICO!F7=0,0,QUOTE_STORICO!F7*LN(2*QUOTE_STORICO!F7/(QUOTE_STORICO!F7+QUOTE_STORICO!E7)))/2+IF(QUOTE_STORICO!E7=0,0,QUOTE_STORICO!E7*LN(2*QUOTE_STORICO!E7/(QUOTE_STORICO!F7+QUOTE_STORICO!E7)))/2)</x:f>
      </x:c>
      <x:c r="G7" s="92" t="str">
        <x:f>IF(OR(QUOTE_STORICO!G7="",QUOTE_STORICO!F7=""),"",IF(QUOTE_STORICO!G7=0,0,QUOTE_STORICO!G7*LN(2*QUOTE_STORICO!G7/(QUOTE_STORICO!G7+QUOTE_STORICO!F7)))/2+IF(QUOTE_STORICO!F7=0,0,QUOTE_STORICO!F7*LN(2*QUOTE_STORICO!F7/(QUOTE_STORICO!G7+QUOTE_STORICO!F7)))/2)</x:f>
      </x:c>
      <x:c r="H7" s="92" t="str">
        <x:f>IF(OR(QUOTE_STORICO!H7="",QUOTE_STORICO!G7=""),"",IF(QUOTE_STORICO!H7=0,0,QUOTE_STORICO!H7*LN(2*QUOTE_STORICO!H7/(QUOTE_STORICO!H7+QUOTE_STORICO!G7)))/2+IF(QUOTE_STORICO!G7=0,0,QUOTE_STORICO!G7*LN(2*QUOTE_STORICO!G7/(QUOTE_STORICO!H7+QUOTE_STORICO!G7)))/2)</x:f>
      </x:c>
      <x:c r="I7" s="92" t="str">
        <x:f>IF(OR(QUOTE_STORICO!I7="",QUOTE_STORICO!H7=""),"",IF(QUOTE_STORICO!I7=0,0,QUOTE_STORICO!I7*LN(2*QUOTE_STORICO!I7/(QUOTE_STORICO!I7+QUOTE_STORICO!H7)))/2+IF(QUOTE_STORICO!H7=0,0,QUOTE_STORICO!H7*LN(2*QUOTE_STORICO!H7/(QUOTE_STORICO!I7+QUOTE_STORICO!H7)))/2)</x:f>
      </x:c>
      <x:c r="J7" s="92" t="str">
        <x:f>IF(OR(QUOTE_STORICO!J7="",QUOTE_STORICO!I7=""),"",IF(QUOTE_STORICO!J7=0,0,QUOTE_STORICO!J7*LN(2*QUOTE_STORICO!J7/(QUOTE_STORICO!J7+QUOTE_STORICO!I7)))/2+IF(QUOTE_STORICO!I7=0,0,QUOTE_STORICO!I7*LN(2*QUOTE_STORICO!I7/(QUOTE_STORICO!J7+QUOTE_STORICO!I7)))/2)</x:f>
      </x:c>
      <x:c r="K7" s="92" t="str">
        <x:f>IF(OR(QUOTE_STORICO!K7="",QUOTE_STORICO!J7=""),"",IF(QUOTE_STORICO!K7=0,0,QUOTE_STORICO!K7*LN(2*QUOTE_STORICO!K7/(QUOTE_STORICO!K7+QUOTE_STORICO!J7)))/2+IF(QUOTE_STORICO!J7=0,0,QUOTE_STORICO!J7*LN(2*QUOTE_STORICO!J7/(QUOTE_STORICO!K7+QUOTE_STORICO!J7)))/2)</x:f>
      </x:c>
      <x:c r="L7" s="92" t="str">
        <x:f>IF(OR(QUOTE_STORICO!L7="",QUOTE_STORICO!K7=""),"",IF(QUOTE_STORICO!L7=0,0,QUOTE_STORICO!L7*LN(2*QUOTE_STORICO!L7/(QUOTE_STORICO!L7+QUOTE_STORICO!K7)))/2+IF(QUOTE_STORICO!K7=0,0,QUOTE_STORICO!K7*LN(2*QUOTE_STORICO!K7/(QUOTE_STORICO!L7+QUOTE_STORICO!K7)))/2)</x:f>
      </x:c>
      <x:c r="M7" s="92" t="str">
        <x:f>IF(OR(QUOTE_STORICO!M7="",QUOTE_STORICO!L7=""),"",IF(QUOTE_STORICO!M7=0,0,QUOTE_STORICO!M7*LN(2*QUOTE_STORICO!M7/(QUOTE_STORICO!M7+QUOTE_STORICO!L7)))/2+IF(QUOTE_STORICO!L7=0,0,QUOTE_STORICO!L7*LN(2*QUOTE_STORICO!L7/(QUOTE_STORICO!M7+QUOTE_STORICO!L7)))/2)</x:f>
      </x:c>
      <x:c r="N7" s="92" t="str">
        <x:f>IF(OR(QUOTE_STORICO!N7="",QUOTE_STORICO!M7=""),"",IF(QUOTE_STORICO!N7=0,0,QUOTE_STORICO!N7*LN(2*QUOTE_STORICO!N7/(QUOTE_STORICO!N7+QUOTE_STORICO!M7)))/2+IF(QUOTE_STORICO!M7=0,0,QUOTE_STORICO!M7*LN(2*QUOTE_STORICO!M7/(QUOTE_STORICO!N7+QUOTE_STORICO!M7)))/2)</x:f>
      </x:c>
    </x:row>
    <x:row r="8">
      <x:c r="A8" t="str">
        <x:v>Trentino-Alto Adige</x:v>
      </x:c>
      <x:c r="B8" s="92"/>
      <x:c r="C8" s="92" t="str">
        <x:f>IF(OR(QUOTE_STORICO!C8="",QUOTE_STORICO!B8=""),"",IF(QUOTE_STORICO!C8=0,0,QUOTE_STORICO!C8*LN(2*QUOTE_STORICO!C8/(QUOTE_STORICO!C8+QUOTE_STORICO!B8)))/2+IF(QUOTE_STORICO!B8=0,0,QUOTE_STORICO!B8*LN(2*QUOTE_STORICO!B8/(QUOTE_STORICO!C8+QUOTE_STORICO!B8)))/2)</x:f>
      </x:c>
      <x:c r="D8" s="92" t="str">
        <x:f>IF(OR(QUOTE_STORICO!D8="",QUOTE_STORICO!C8=""),"",IF(QUOTE_STORICO!D8=0,0,QUOTE_STORICO!D8*LN(2*QUOTE_STORICO!D8/(QUOTE_STORICO!D8+QUOTE_STORICO!C8)))/2+IF(QUOTE_STORICO!C8=0,0,QUOTE_STORICO!C8*LN(2*QUOTE_STORICO!C8/(QUOTE_STORICO!D8+QUOTE_STORICO!C8)))/2)</x:f>
      </x:c>
      <x:c r="E8" s="92" t="str">
        <x:f>IF(OR(QUOTE_STORICO!E8="",QUOTE_STORICO!D8=""),"",IF(QUOTE_STORICO!E8=0,0,QUOTE_STORICO!E8*LN(2*QUOTE_STORICO!E8/(QUOTE_STORICO!E8+QUOTE_STORICO!D8)))/2+IF(QUOTE_STORICO!D8=0,0,QUOTE_STORICO!D8*LN(2*QUOTE_STORICO!D8/(QUOTE_STORICO!E8+QUOTE_STORICO!D8)))/2)</x:f>
      </x:c>
      <x:c r="F8" s="92" t="str">
        <x:f>IF(OR(QUOTE_STORICO!F8="",QUOTE_STORICO!E8=""),"",IF(QUOTE_STORICO!F8=0,0,QUOTE_STORICO!F8*LN(2*QUOTE_STORICO!F8/(QUOTE_STORICO!F8+QUOTE_STORICO!E8)))/2+IF(QUOTE_STORICO!E8=0,0,QUOTE_STORICO!E8*LN(2*QUOTE_STORICO!E8/(QUOTE_STORICO!F8+QUOTE_STORICO!E8)))/2)</x:f>
      </x:c>
      <x:c r="G8" s="92" t="str">
        <x:f>IF(OR(QUOTE_STORICO!G8="",QUOTE_STORICO!F8=""),"",IF(QUOTE_STORICO!G8=0,0,QUOTE_STORICO!G8*LN(2*QUOTE_STORICO!G8/(QUOTE_STORICO!G8+QUOTE_STORICO!F8)))/2+IF(QUOTE_STORICO!F8=0,0,QUOTE_STORICO!F8*LN(2*QUOTE_STORICO!F8/(QUOTE_STORICO!G8+QUOTE_STORICO!F8)))/2)</x:f>
      </x:c>
      <x:c r="H8" s="92" t="str">
        <x:f>IF(OR(QUOTE_STORICO!H8="",QUOTE_STORICO!G8=""),"",IF(QUOTE_STORICO!H8=0,0,QUOTE_STORICO!H8*LN(2*QUOTE_STORICO!H8/(QUOTE_STORICO!H8+QUOTE_STORICO!G8)))/2+IF(QUOTE_STORICO!G8=0,0,QUOTE_STORICO!G8*LN(2*QUOTE_STORICO!G8/(QUOTE_STORICO!H8+QUOTE_STORICO!G8)))/2)</x:f>
      </x:c>
      <x:c r="I8" s="92" t="str">
        <x:f>IF(OR(QUOTE_STORICO!I8="",QUOTE_STORICO!H8=""),"",IF(QUOTE_STORICO!I8=0,0,QUOTE_STORICO!I8*LN(2*QUOTE_STORICO!I8/(QUOTE_STORICO!I8+QUOTE_STORICO!H8)))/2+IF(QUOTE_STORICO!H8=0,0,QUOTE_STORICO!H8*LN(2*QUOTE_STORICO!H8/(QUOTE_STORICO!I8+QUOTE_STORICO!H8)))/2)</x:f>
      </x:c>
      <x:c r="J8" s="92" t="str">
        <x:f>IF(OR(QUOTE_STORICO!J8="",QUOTE_STORICO!I8=""),"",IF(QUOTE_STORICO!J8=0,0,QUOTE_STORICO!J8*LN(2*QUOTE_STORICO!J8/(QUOTE_STORICO!J8+QUOTE_STORICO!I8)))/2+IF(QUOTE_STORICO!I8=0,0,QUOTE_STORICO!I8*LN(2*QUOTE_STORICO!I8/(QUOTE_STORICO!J8+QUOTE_STORICO!I8)))/2)</x:f>
      </x:c>
      <x:c r="K8" s="92" t="str">
        <x:f>IF(OR(QUOTE_STORICO!K8="",QUOTE_STORICO!J8=""),"",IF(QUOTE_STORICO!K8=0,0,QUOTE_STORICO!K8*LN(2*QUOTE_STORICO!K8/(QUOTE_STORICO!K8+QUOTE_STORICO!J8)))/2+IF(QUOTE_STORICO!J8=0,0,QUOTE_STORICO!J8*LN(2*QUOTE_STORICO!J8/(QUOTE_STORICO!K8+QUOTE_STORICO!J8)))/2)</x:f>
      </x:c>
      <x:c r="L8" s="92" t="str">
        <x:f>IF(OR(QUOTE_STORICO!L8="",QUOTE_STORICO!K8=""),"",IF(QUOTE_STORICO!L8=0,0,QUOTE_STORICO!L8*LN(2*QUOTE_STORICO!L8/(QUOTE_STORICO!L8+QUOTE_STORICO!K8)))/2+IF(QUOTE_STORICO!K8=0,0,QUOTE_STORICO!K8*LN(2*QUOTE_STORICO!K8/(QUOTE_STORICO!L8+QUOTE_STORICO!K8)))/2)</x:f>
      </x:c>
      <x:c r="M8" s="92" t="str">
        <x:f>IF(OR(QUOTE_STORICO!M8="",QUOTE_STORICO!L8=""),"",IF(QUOTE_STORICO!M8=0,0,QUOTE_STORICO!M8*LN(2*QUOTE_STORICO!M8/(QUOTE_STORICO!M8+QUOTE_STORICO!L8)))/2+IF(QUOTE_STORICO!L8=0,0,QUOTE_STORICO!L8*LN(2*QUOTE_STORICO!L8/(QUOTE_STORICO!M8+QUOTE_STORICO!L8)))/2)</x:f>
      </x:c>
      <x:c r="N8" s="92" t="str">
        <x:f>IF(OR(QUOTE_STORICO!N8="",QUOTE_STORICO!M8=""),"",IF(QUOTE_STORICO!N8=0,0,QUOTE_STORICO!N8*LN(2*QUOTE_STORICO!N8/(QUOTE_STORICO!N8+QUOTE_STORICO!M8)))/2+IF(QUOTE_STORICO!M8=0,0,QUOTE_STORICO!M8*LN(2*QUOTE_STORICO!M8/(QUOTE_STORICO!N8+QUOTE_STORICO!M8)))/2)</x:f>
      </x:c>
    </x:row>
    <x:row r="9">
      <x:c r="A9" t="str">
        <x:v>Veneto</x:v>
      </x:c>
      <x:c r="B9" s="92"/>
      <x:c r="C9" s="92" t="str">
        <x:f>IF(OR(QUOTE_STORICO!C9="",QUOTE_STORICO!B9=""),"",IF(QUOTE_STORICO!C9=0,0,QUOTE_STORICO!C9*LN(2*QUOTE_STORICO!C9/(QUOTE_STORICO!C9+QUOTE_STORICO!B9)))/2+IF(QUOTE_STORICO!B9=0,0,QUOTE_STORICO!B9*LN(2*QUOTE_STORICO!B9/(QUOTE_STORICO!C9+QUOTE_STORICO!B9)))/2)</x:f>
      </x:c>
      <x:c r="D9" s="92" t="str">
        <x:f>IF(OR(QUOTE_STORICO!D9="",QUOTE_STORICO!C9=""),"",IF(QUOTE_STORICO!D9=0,0,QUOTE_STORICO!D9*LN(2*QUOTE_STORICO!D9/(QUOTE_STORICO!D9+QUOTE_STORICO!C9)))/2+IF(QUOTE_STORICO!C9=0,0,QUOTE_STORICO!C9*LN(2*QUOTE_STORICO!C9/(QUOTE_STORICO!D9+QUOTE_STORICO!C9)))/2)</x:f>
      </x:c>
      <x:c r="E9" s="92" t="str">
        <x:f>IF(OR(QUOTE_STORICO!E9="",QUOTE_STORICO!D9=""),"",IF(QUOTE_STORICO!E9=0,0,QUOTE_STORICO!E9*LN(2*QUOTE_STORICO!E9/(QUOTE_STORICO!E9+QUOTE_STORICO!D9)))/2+IF(QUOTE_STORICO!D9=0,0,QUOTE_STORICO!D9*LN(2*QUOTE_STORICO!D9/(QUOTE_STORICO!E9+QUOTE_STORICO!D9)))/2)</x:f>
      </x:c>
      <x:c r="F9" s="92" t="str">
        <x:f>IF(OR(QUOTE_STORICO!F9="",QUOTE_STORICO!E9=""),"",IF(QUOTE_STORICO!F9=0,0,QUOTE_STORICO!F9*LN(2*QUOTE_STORICO!F9/(QUOTE_STORICO!F9+QUOTE_STORICO!E9)))/2+IF(QUOTE_STORICO!E9=0,0,QUOTE_STORICO!E9*LN(2*QUOTE_STORICO!E9/(QUOTE_STORICO!F9+QUOTE_STORICO!E9)))/2)</x:f>
      </x:c>
      <x:c r="G9" s="92" t="str">
        <x:f>IF(OR(QUOTE_STORICO!G9="",QUOTE_STORICO!F9=""),"",IF(QUOTE_STORICO!G9=0,0,QUOTE_STORICO!G9*LN(2*QUOTE_STORICO!G9/(QUOTE_STORICO!G9+QUOTE_STORICO!F9)))/2+IF(QUOTE_STORICO!F9=0,0,QUOTE_STORICO!F9*LN(2*QUOTE_STORICO!F9/(QUOTE_STORICO!G9+QUOTE_STORICO!F9)))/2)</x:f>
      </x:c>
      <x:c r="H9" s="92" t="str">
        <x:f>IF(OR(QUOTE_STORICO!H9="",QUOTE_STORICO!G9=""),"",IF(QUOTE_STORICO!H9=0,0,QUOTE_STORICO!H9*LN(2*QUOTE_STORICO!H9/(QUOTE_STORICO!H9+QUOTE_STORICO!G9)))/2+IF(QUOTE_STORICO!G9=0,0,QUOTE_STORICO!G9*LN(2*QUOTE_STORICO!G9/(QUOTE_STORICO!H9+QUOTE_STORICO!G9)))/2)</x:f>
      </x:c>
      <x:c r="I9" s="92" t="str">
        <x:f>IF(OR(QUOTE_STORICO!I9="",QUOTE_STORICO!H9=""),"",IF(QUOTE_STORICO!I9=0,0,QUOTE_STORICO!I9*LN(2*QUOTE_STORICO!I9/(QUOTE_STORICO!I9+QUOTE_STORICO!H9)))/2+IF(QUOTE_STORICO!H9=0,0,QUOTE_STORICO!H9*LN(2*QUOTE_STORICO!H9/(QUOTE_STORICO!I9+QUOTE_STORICO!H9)))/2)</x:f>
      </x:c>
      <x:c r="J9" s="92" t="str">
        <x:f>IF(OR(QUOTE_STORICO!J9="",QUOTE_STORICO!I9=""),"",IF(QUOTE_STORICO!J9=0,0,QUOTE_STORICO!J9*LN(2*QUOTE_STORICO!J9/(QUOTE_STORICO!J9+QUOTE_STORICO!I9)))/2+IF(QUOTE_STORICO!I9=0,0,QUOTE_STORICO!I9*LN(2*QUOTE_STORICO!I9/(QUOTE_STORICO!J9+QUOTE_STORICO!I9)))/2)</x:f>
      </x:c>
      <x:c r="K9" s="92" t="str">
        <x:f>IF(OR(QUOTE_STORICO!K9="",QUOTE_STORICO!J9=""),"",IF(QUOTE_STORICO!K9=0,0,QUOTE_STORICO!K9*LN(2*QUOTE_STORICO!K9/(QUOTE_STORICO!K9+QUOTE_STORICO!J9)))/2+IF(QUOTE_STORICO!J9=0,0,QUOTE_STORICO!J9*LN(2*QUOTE_STORICO!J9/(QUOTE_STORICO!K9+QUOTE_STORICO!J9)))/2)</x:f>
      </x:c>
      <x:c r="L9" s="92" t="str">
        <x:f>IF(OR(QUOTE_STORICO!L9="",QUOTE_STORICO!K9=""),"",IF(QUOTE_STORICO!L9=0,0,QUOTE_STORICO!L9*LN(2*QUOTE_STORICO!L9/(QUOTE_STORICO!L9+QUOTE_STORICO!K9)))/2+IF(QUOTE_STORICO!K9=0,0,QUOTE_STORICO!K9*LN(2*QUOTE_STORICO!K9/(QUOTE_STORICO!L9+QUOTE_STORICO!K9)))/2)</x:f>
      </x:c>
      <x:c r="M9" s="92" t="str">
        <x:f>IF(OR(QUOTE_STORICO!M9="",QUOTE_STORICO!L9=""),"",IF(QUOTE_STORICO!M9=0,0,QUOTE_STORICO!M9*LN(2*QUOTE_STORICO!M9/(QUOTE_STORICO!M9+QUOTE_STORICO!L9)))/2+IF(QUOTE_STORICO!L9=0,0,QUOTE_STORICO!L9*LN(2*QUOTE_STORICO!L9/(QUOTE_STORICO!M9+QUOTE_STORICO!L9)))/2)</x:f>
      </x:c>
      <x:c r="N9" s="92" t="str">
        <x:f>IF(OR(QUOTE_STORICO!N9="",QUOTE_STORICO!M9=""),"",IF(QUOTE_STORICO!N9=0,0,QUOTE_STORICO!N9*LN(2*QUOTE_STORICO!N9/(QUOTE_STORICO!N9+QUOTE_STORICO!M9)))/2+IF(QUOTE_STORICO!M9=0,0,QUOTE_STORICO!M9*LN(2*QUOTE_STORICO!M9/(QUOTE_STORICO!N9+QUOTE_STORICO!M9)))/2)</x:f>
      </x:c>
    </x:row>
    <x:row r="10">
      <x:c r="A10" t="str">
        <x:v>Friuli-Venezia Giulia</x:v>
      </x:c>
      <x:c r="B10" s="92"/>
      <x:c r="C10" s="92" t="str">
        <x:f>IF(OR(QUOTE_STORICO!C10="",QUOTE_STORICO!B10=""),"",IF(QUOTE_STORICO!C10=0,0,QUOTE_STORICO!C10*LN(2*QUOTE_STORICO!C10/(QUOTE_STORICO!C10+QUOTE_STORICO!B10)))/2+IF(QUOTE_STORICO!B10=0,0,QUOTE_STORICO!B10*LN(2*QUOTE_STORICO!B10/(QUOTE_STORICO!C10+QUOTE_STORICO!B10)))/2)</x:f>
      </x:c>
      <x:c r="D10" s="92" t="str">
        <x:f>IF(OR(QUOTE_STORICO!D10="",QUOTE_STORICO!C10=""),"",IF(QUOTE_STORICO!D10=0,0,QUOTE_STORICO!D10*LN(2*QUOTE_STORICO!D10/(QUOTE_STORICO!D10+QUOTE_STORICO!C10)))/2+IF(QUOTE_STORICO!C10=0,0,QUOTE_STORICO!C10*LN(2*QUOTE_STORICO!C10/(QUOTE_STORICO!D10+QUOTE_STORICO!C10)))/2)</x:f>
      </x:c>
      <x:c r="E10" s="92" t="str">
        <x:f>IF(OR(QUOTE_STORICO!E10="",QUOTE_STORICO!D10=""),"",IF(QUOTE_STORICO!E10=0,0,QUOTE_STORICO!E10*LN(2*QUOTE_STORICO!E10/(QUOTE_STORICO!E10+QUOTE_STORICO!D10)))/2+IF(QUOTE_STORICO!D10=0,0,QUOTE_STORICO!D10*LN(2*QUOTE_STORICO!D10/(QUOTE_STORICO!E10+QUOTE_STORICO!D10)))/2)</x:f>
      </x:c>
      <x:c r="F10" s="92" t="str">
        <x:f>IF(OR(QUOTE_STORICO!F10="",QUOTE_STORICO!E10=""),"",IF(QUOTE_STORICO!F10=0,0,QUOTE_STORICO!F10*LN(2*QUOTE_STORICO!F10/(QUOTE_STORICO!F10+QUOTE_STORICO!E10)))/2+IF(QUOTE_STORICO!E10=0,0,QUOTE_STORICO!E10*LN(2*QUOTE_STORICO!E10/(QUOTE_STORICO!F10+QUOTE_STORICO!E10)))/2)</x:f>
      </x:c>
      <x:c r="G10" s="92" t="str">
        <x:f>IF(OR(QUOTE_STORICO!G10="",QUOTE_STORICO!F10=""),"",IF(QUOTE_STORICO!G10=0,0,QUOTE_STORICO!G10*LN(2*QUOTE_STORICO!G10/(QUOTE_STORICO!G10+QUOTE_STORICO!F10)))/2+IF(QUOTE_STORICO!F10=0,0,QUOTE_STORICO!F10*LN(2*QUOTE_STORICO!F10/(QUOTE_STORICO!G10+QUOTE_STORICO!F10)))/2)</x:f>
      </x:c>
      <x:c r="H10" s="92" t="str">
        <x:f>IF(OR(QUOTE_STORICO!H10="",QUOTE_STORICO!G10=""),"",IF(QUOTE_STORICO!H10=0,0,QUOTE_STORICO!H10*LN(2*QUOTE_STORICO!H10/(QUOTE_STORICO!H10+QUOTE_STORICO!G10)))/2+IF(QUOTE_STORICO!G10=0,0,QUOTE_STORICO!G10*LN(2*QUOTE_STORICO!G10/(QUOTE_STORICO!H10+QUOTE_STORICO!G10)))/2)</x:f>
      </x:c>
      <x:c r="I10" s="92" t="str">
        <x:f>IF(OR(QUOTE_STORICO!I10="",QUOTE_STORICO!H10=""),"",IF(QUOTE_STORICO!I10=0,0,QUOTE_STORICO!I10*LN(2*QUOTE_STORICO!I10/(QUOTE_STORICO!I10+QUOTE_STORICO!H10)))/2+IF(QUOTE_STORICO!H10=0,0,QUOTE_STORICO!H10*LN(2*QUOTE_STORICO!H10/(QUOTE_STORICO!I10+QUOTE_STORICO!H10)))/2)</x:f>
      </x:c>
      <x:c r="J10" s="92" t="str">
        <x:f>IF(OR(QUOTE_STORICO!J10="",QUOTE_STORICO!I10=""),"",IF(QUOTE_STORICO!J10=0,0,QUOTE_STORICO!J10*LN(2*QUOTE_STORICO!J10/(QUOTE_STORICO!J10+QUOTE_STORICO!I10)))/2+IF(QUOTE_STORICO!I10=0,0,QUOTE_STORICO!I10*LN(2*QUOTE_STORICO!I10/(QUOTE_STORICO!J10+QUOTE_STORICO!I10)))/2)</x:f>
      </x:c>
      <x:c r="K10" s="92" t="str">
        <x:f>IF(OR(QUOTE_STORICO!K10="",QUOTE_STORICO!J10=""),"",IF(QUOTE_STORICO!K10=0,0,QUOTE_STORICO!K10*LN(2*QUOTE_STORICO!K10/(QUOTE_STORICO!K10+QUOTE_STORICO!J10)))/2+IF(QUOTE_STORICO!J10=0,0,QUOTE_STORICO!J10*LN(2*QUOTE_STORICO!J10/(QUOTE_STORICO!K10+QUOTE_STORICO!J10)))/2)</x:f>
      </x:c>
      <x:c r="L10" s="92" t="str">
        <x:f>IF(OR(QUOTE_STORICO!L10="",QUOTE_STORICO!K10=""),"",IF(QUOTE_STORICO!L10=0,0,QUOTE_STORICO!L10*LN(2*QUOTE_STORICO!L10/(QUOTE_STORICO!L10+QUOTE_STORICO!K10)))/2+IF(QUOTE_STORICO!K10=0,0,QUOTE_STORICO!K10*LN(2*QUOTE_STORICO!K10/(QUOTE_STORICO!L10+QUOTE_STORICO!K10)))/2)</x:f>
      </x:c>
      <x:c r="M10" s="92" t="str">
        <x:f>IF(OR(QUOTE_STORICO!M10="",QUOTE_STORICO!L10=""),"",IF(QUOTE_STORICO!M10=0,0,QUOTE_STORICO!M10*LN(2*QUOTE_STORICO!M10/(QUOTE_STORICO!M10+QUOTE_STORICO!L10)))/2+IF(QUOTE_STORICO!L10=0,0,QUOTE_STORICO!L10*LN(2*QUOTE_STORICO!L10/(QUOTE_STORICO!M10+QUOTE_STORICO!L10)))/2)</x:f>
      </x:c>
      <x:c r="N10" s="92" t="str">
        <x:f>IF(OR(QUOTE_STORICO!N10="",QUOTE_STORICO!M10=""),"",IF(QUOTE_STORICO!N10=0,0,QUOTE_STORICO!N10*LN(2*QUOTE_STORICO!N10/(QUOTE_STORICO!N10+QUOTE_STORICO!M10)))/2+IF(QUOTE_STORICO!M10=0,0,QUOTE_STORICO!M10*LN(2*QUOTE_STORICO!M10/(QUOTE_STORICO!N10+QUOTE_STORICO!M10)))/2)</x:f>
      </x:c>
    </x:row>
    <x:row r="11">
      <x:c r="A11" t="str">
        <x:v>Emilia-Romagna</x:v>
      </x:c>
      <x:c r="B11" s="92"/>
      <x:c r="C11" s="92" t="str">
        <x:f>IF(OR(QUOTE_STORICO!C11="",QUOTE_STORICO!B11=""),"",IF(QUOTE_STORICO!C11=0,0,QUOTE_STORICO!C11*LN(2*QUOTE_STORICO!C11/(QUOTE_STORICO!C11+QUOTE_STORICO!B11)))/2+IF(QUOTE_STORICO!B11=0,0,QUOTE_STORICO!B11*LN(2*QUOTE_STORICO!B11/(QUOTE_STORICO!C11+QUOTE_STORICO!B11)))/2)</x:f>
      </x:c>
      <x:c r="D11" s="92" t="str">
        <x:f>IF(OR(QUOTE_STORICO!D11="",QUOTE_STORICO!C11=""),"",IF(QUOTE_STORICO!D11=0,0,QUOTE_STORICO!D11*LN(2*QUOTE_STORICO!D11/(QUOTE_STORICO!D11+QUOTE_STORICO!C11)))/2+IF(QUOTE_STORICO!C11=0,0,QUOTE_STORICO!C11*LN(2*QUOTE_STORICO!C11/(QUOTE_STORICO!D11+QUOTE_STORICO!C11)))/2)</x:f>
      </x:c>
      <x:c r="E11" s="92" t="str">
        <x:f>IF(OR(QUOTE_STORICO!E11="",QUOTE_STORICO!D11=""),"",IF(QUOTE_STORICO!E11=0,0,QUOTE_STORICO!E11*LN(2*QUOTE_STORICO!E11/(QUOTE_STORICO!E11+QUOTE_STORICO!D11)))/2+IF(QUOTE_STORICO!D11=0,0,QUOTE_STORICO!D11*LN(2*QUOTE_STORICO!D11/(QUOTE_STORICO!E11+QUOTE_STORICO!D11)))/2)</x:f>
      </x:c>
      <x:c r="F11" s="92" t="str">
        <x:f>IF(OR(QUOTE_STORICO!F11="",QUOTE_STORICO!E11=""),"",IF(QUOTE_STORICO!F11=0,0,QUOTE_STORICO!F11*LN(2*QUOTE_STORICO!F11/(QUOTE_STORICO!F11+QUOTE_STORICO!E11)))/2+IF(QUOTE_STORICO!E11=0,0,QUOTE_STORICO!E11*LN(2*QUOTE_STORICO!E11/(QUOTE_STORICO!F11+QUOTE_STORICO!E11)))/2)</x:f>
      </x:c>
      <x:c r="G11" s="92" t="str">
        <x:f>IF(OR(QUOTE_STORICO!G11="",QUOTE_STORICO!F11=""),"",IF(QUOTE_STORICO!G11=0,0,QUOTE_STORICO!G11*LN(2*QUOTE_STORICO!G11/(QUOTE_STORICO!G11+QUOTE_STORICO!F11)))/2+IF(QUOTE_STORICO!F11=0,0,QUOTE_STORICO!F11*LN(2*QUOTE_STORICO!F11/(QUOTE_STORICO!G11+QUOTE_STORICO!F11)))/2)</x:f>
      </x:c>
      <x:c r="H11" s="92" t="str">
        <x:f>IF(OR(QUOTE_STORICO!H11="",QUOTE_STORICO!G11=""),"",IF(QUOTE_STORICO!H11=0,0,QUOTE_STORICO!H11*LN(2*QUOTE_STORICO!H11/(QUOTE_STORICO!H11+QUOTE_STORICO!G11)))/2+IF(QUOTE_STORICO!G11=0,0,QUOTE_STORICO!G11*LN(2*QUOTE_STORICO!G11/(QUOTE_STORICO!H11+QUOTE_STORICO!G11)))/2)</x:f>
      </x:c>
      <x:c r="I11" s="92" t="str">
        <x:f>IF(OR(QUOTE_STORICO!I11="",QUOTE_STORICO!H11=""),"",IF(QUOTE_STORICO!I11=0,0,QUOTE_STORICO!I11*LN(2*QUOTE_STORICO!I11/(QUOTE_STORICO!I11+QUOTE_STORICO!H11)))/2+IF(QUOTE_STORICO!H11=0,0,QUOTE_STORICO!H11*LN(2*QUOTE_STORICO!H11/(QUOTE_STORICO!I11+QUOTE_STORICO!H11)))/2)</x:f>
      </x:c>
      <x:c r="J11" s="92" t="str">
        <x:f>IF(OR(QUOTE_STORICO!J11="",QUOTE_STORICO!I11=""),"",IF(QUOTE_STORICO!J11=0,0,QUOTE_STORICO!J11*LN(2*QUOTE_STORICO!J11/(QUOTE_STORICO!J11+QUOTE_STORICO!I11)))/2+IF(QUOTE_STORICO!I11=0,0,QUOTE_STORICO!I11*LN(2*QUOTE_STORICO!I11/(QUOTE_STORICO!J11+QUOTE_STORICO!I11)))/2)</x:f>
      </x:c>
      <x:c r="K11" s="92" t="str">
        <x:f>IF(OR(QUOTE_STORICO!K11="",QUOTE_STORICO!J11=""),"",IF(QUOTE_STORICO!K11=0,0,QUOTE_STORICO!K11*LN(2*QUOTE_STORICO!K11/(QUOTE_STORICO!K11+QUOTE_STORICO!J11)))/2+IF(QUOTE_STORICO!J11=0,0,QUOTE_STORICO!J11*LN(2*QUOTE_STORICO!J11/(QUOTE_STORICO!K11+QUOTE_STORICO!J11)))/2)</x:f>
      </x:c>
      <x:c r="L11" s="92" t="str">
        <x:f>IF(OR(QUOTE_STORICO!L11="",QUOTE_STORICO!K11=""),"",IF(QUOTE_STORICO!L11=0,0,QUOTE_STORICO!L11*LN(2*QUOTE_STORICO!L11/(QUOTE_STORICO!L11+QUOTE_STORICO!K11)))/2+IF(QUOTE_STORICO!K11=0,0,QUOTE_STORICO!K11*LN(2*QUOTE_STORICO!K11/(QUOTE_STORICO!L11+QUOTE_STORICO!K11)))/2)</x:f>
      </x:c>
      <x:c r="M11" s="92" t="str">
        <x:f>IF(OR(QUOTE_STORICO!M11="",QUOTE_STORICO!L11=""),"",IF(QUOTE_STORICO!M11=0,0,QUOTE_STORICO!M11*LN(2*QUOTE_STORICO!M11/(QUOTE_STORICO!M11+QUOTE_STORICO!L11)))/2+IF(QUOTE_STORICO!L11=0,0,QUOTE_STORICO!L11*LN(2*QUOTE_STORICO!L11/(QUOTE_STORICO!M11+QUOTE_STORICO!L11)))/2)</x:f>
      </x:c>
      <x:c r="N11" s="92" t="str">
        <x:f>IF(OR(QUOTE_STORICO!N11="",QUOTE_STORICO!M11=""),"",IF(QUOTE_STORICO!N11=0,0,QUOTE_STORICO!N11*LN(2*QUOTE_STORICO!N11/(QUOTE_STORICO!N11+QUOTE_STORICO!M11)))/2+IF(QUOTE_STORICO!M11=0,0,QUOTE_STORICO!M11*LN(2*QUOTE_STORICO!M11/(QUOTE_STORICO!N11+QUOTE_STORICO!M11)))/2)</x:f>
      </x:c>
    </x:row>
    <x:row r="12">
      <x:c r="A12" t="str">
        <x:v>Toscana</x:v>
      </x:c>
      <x:c r="B12" s="92"/>
      <x:c r="C12" s="92" t="str">
        <x:f>IF(OR(QUOTE_STORICO!C12="",QUOTE_STORICO!B12=""),"",IF(QUOTE_STORICO!C12=0,0,QUOTE_STORICO!C12*LN(2*QUOTE_STORICO!C12/(QUOTE_STORICO!C12+QUOTE_STORICO!B12)))/2+IF(QUOTE_STORICO!B12=0,0,QUOTE_STORICO!B12*LN(2*QUOTE_STORICO!B12/(QUOTE_STORICO!C12+QUOTE_STORICO!B12)))/2)</x:f>
      </x:c>
      <x:c r="D12" s="92" t="str">
        <x:f>IF(OR(QUOTE_STORICO!D12="",QUOTE_STORICO!C12=""),"",IF(QUOTE_STORICO!D12=0,0,QUOTE_STORICO!D12*LN(2*QUOTE_STORICO!D12/(QUOTE_STORICO!D12+QUOTE_STORICO!C12)))/2+IF(QUOTE_STORICO!C12=0,0,QUOTE_STORICO!C12*LN(2*QUOTE_STORICO!C12/(QUOTE_STORICO!D12+QUOTE_STORICO!C12)))/2)</x:f>
      </x:c>
      <x:c r="E12" s="92" t="str">
        <x:f>IF(OR(QUOTE_STORICO!E12="",QUOTE_STORICO!D12=""),"",IF(QUOTE_STORICO!E12=0,0,QUOTE_STORICO!E12*LN(2*QUOTE_STORICO!E12/(QUOTE_STORICO!E12+QUOTE_STORICO!D12)))/2+IF(QUOTE_STORICO!D12=0,0,QUOTE_STORICO!D12*LN(2*QUOTE_STORICO!D12/(QUOTE_STORICO!E12+QUOTE_STORICO!D12)))/2)</x:f>
      </x:c>
      <x:c r="F12" s="92" t="str">
        <x:f>IF(OR(QUOTE_STORICO!F12="",QUOTE_STORICO!E12=""),"",IF(QUOTE_STORICO!F12=0,0,QUOTE_STORICO!F12*LN(2*QUOTE_STORICO!F12/(QUOTE_STORICO!F12+QUOTE_STORICO!E12)))/2+IF(QUOTE_STORICO!E12=0,0,QUOTE_STORICO!E12*LN(2*QUOTE_STORICO!E12/(QUOTE_STORICO!F12+QUOTE_STORICO!E12)))/2)</x:f>
      </x:c>
      <x:c r="G12" s="92" t="str">
        <x:f>IF(OR(QUOTE_STORICO!G12="",QUOTE_STORICO!F12=""),"",IF(QUOTE_STORICO!G12=0,0,QUOTE_STORICO!G12*LN(2*QUOTE_STORICO!G12/(QUOTE_STORICO!G12+QUOTE_STORICO!F12)))/2+IF(QUOTE_STORICO!F12=0,0,QUOTE_STORICO!F12*LN(2*QUOTE_STORICO!F12/(QUOTE_STORICO!G12+QUOTE_STORICO!F12)))/2)</x:f>
      </x:c>
      <x:c r="H12" s="92" t="str">
        <x:f>IF(OR(QUOTE_STORICO!H12="",QUOTE_STORICO!G12=""),"",IF(QUOTE_STORICO!H12=0,0,QUOTE_STORICO!H12*LN(2*QUOTE_STORICO!H12/(QUOTE_STORICO!H12+QUOTE_STORICO!G12)))/2+IF(QUOTE_STORICO!G12=0,0,QUOTE_STORICO!G12*LN(2*QUOTE_STORICO!G12/(QUOTE_STORICO!H12+QUOTE_STORICO!G12)))/2)</x:f>
      </x:c>
      <x:c r="I12" s="92" t="str">
        <x:f>IF(OR(QUOTE_STORICO!I12="",QUOTE_STORICO!H12=""),"",IF(QUOTE_STORICO!I12=0,0,QUOTE_STORICO!I12*LN(2*QUOTE_STORICO!I12/(QUOTE_STORICO!I12+QUOTE_STORICO!H12)))/2+IF(QUOTE_STORICO!H12=0,0,QUOTE_STORICO!H12*LN(2*QUOTE_STORICO!H12/(QUOTE_STORICO!I12+QUOTE_STORICO!H12)))/2)</x:f>
      </x:c>
      <x:c r="J12" s="92" t="str">
        <x:f>IF(OR(QUOTE_STORICO!J12="",QUOTE_STORICO!I12=""),"",IF(QUOTE_STORICO!J12=0,0,QUOTE_STORICO!J12*LN(2*QUOTE_STORICO!J12/(QUOTE_STORICO!J12+QUOTE_STORICO!I12)))/2+IF(QUOTE_STORICO!I12=0,0,QUOTE_STORICO!I12*LN(2*QUOTE_STORICO!I12/(QUOTE_STORICO!J12+QUOTE_STORICO!I12)))/2)</x:f>
      </x:c>
      <x:c r="K12" s="92" t="str">
        <x:f>IF(OR(QUOTE_STORICO!K12="",QUOTE_STORICO!J12=""),"",IF(QUOTE_STORICO!K12=0,0,QUOTE_STORICO!K12*LN(2*QUOTE_STORICO!K12/(QUOTE_STORICO!K12+QUOTE_STORICO!J12)))/2+IF(QUOTE_STORICO!J12=0,0,QUOTE_STORICO!J12*LN(2*QUOTE_STORICO!J12/(QUOTE_STORICO!K12+QUOTE_STORICO!J12)))/2)</x:f>
      </x:c>
      <x:c r="L12" s="92" t="str">
        <x:f>IF(OR(QUOTE_STORICO!L12="",QUOTE_STORICO!K12=""),"",IF(QUOTE_STORICO!L12=0,0,QUOTE_STORICO!L12*LN(2*QUOTE_STORICO!L12/(QUOTE_STORICO!L12+QUOTE_STORICO!K12)))/2+IF(QUOTE_STORICO!K12=0,0,QUOTE_STORICO!K12*LN(2*QUOTE_STORICO!K12/(QUOTE_STORICO!L12+QUOTE_STORICO!K12)))/2)</x:f>
      </x:c>
      <x:c r="M12" s="92" t="str">
        <x:f>IF(OR(QUOTE_STORICO!M12="",QUOTE_STORICO!L12=""),"",IF(QUOTE_STORICO!M12=0,0,QUOTE_STORICO!M12*LN(2*QUOTE_STORICO!M12/(QUOTE_STORICO!M12+QUOTE_STORICO!L12)))/2+IF(QUOTE_STORICO!L12=0,0,QUOTE_STORICO!L12*LN(2*QUOTE_STORICO!L12/(QUOTE_STORICO!M12+QUOTE_STORICO!L12)))/2)</x:f>
      </x:c>
      <x:c r="N12" s="92" t="str">
        <x:f>IF(OR(QUOTE_STORICO!N12="",QUOTE_STORICO!M12=""),"",IF(QUOTE_STORICO!N12=0,0,QUOTE_STORICO!N12*LN(2*QUOTE_STORICO!N12/(QUOTE_STORICO!N12+QUOTE_STORICO!M12)))/2+IF(QUOTE_STORICO!M12=0,0,QUOTE_STORICO!M12*LN(2*QUOTE_STORICO!M12/(QUOTE_STORICO!N12+QUOTE_STORICO!M12)))/2)</x:f>
      </x:c>
    </x:row>
    <x:row r="13">
      <x:c r="A13" t="str">
        <x:v>Umbria</x:v>
      </x:c>
      <x:c r="B13" s="92"/>
      <x:c r="C13" s="92" t="str">
        <x:f>IF(OR(QUOTE_STORICO!C13="",QUOTE_STORICO!B13=""),"",IF(QUOTE_STORICO!C13=0,0,QUOTE_STORICO!C13*LN(2*QUOTE_STORICO!C13/(QUOTE_STORICO!C13+QUOTE_STORICO!B13)))/2+IF(QUOTE_STORICO!B13=0,0,QUOTE_STORICO!B13*LN(2*QUOTE_STORICO!B13/(QUOTE_STORICO!C13+QUOTE_STORICO!B13)))/2)</x:f>
      </x:c>
      <x:c r="D13" s="92" t="str">
        <x:f>IF(OR(QUOTE_STORICO!D13="",QUOTE_STORICO!C13=""),"",IF(QUOTE_STORICO!D13=0,0,QUOTE_STORICO!D13*LN(2*QUOTE_STORICO!D13/(QUOTE_STORICO!D13+QUOTE_STORICO!C13)))/2+IF(QUOTE_STORICO!C13=0,0,QUOTE_STORICO!C13*LN(2*QUOTE_STORICO!C13/(QUOTE_STORICO!D13+QUOTE_STORICO!C13)))/2)</x:f>
      </x:c>
      <x:c r="E13" s="92" t="str">
        <x:f>IF(OR(QUOTE_STORICO!E13="",QUOTE_STORICO!D13=""),"",IF(QUOTE_STORICO!E13=0,0,QUOTE_STORICO!E13*LN(2*QUOTE_STORICO!E13/(QUOTE_STORICO!E13+QUOTE_STORICO!D13)))/2+IF(QUOTE_STORICO!D13=0,0,QUOTE_STORICO!D13*LN(2*QUOTE_STORICO!D13/(QUOTE_STORICO!E13+QUOTE_STORICO!D13)))/2)</x:f>
      </x:c>
      <x:c r="F13" s="92" t="str">
        <x:f>IF(OR(QUOTE_STORICO!F13="",QUOTE_STORICO!E13=""),"",IF(QUOTE_STORICO!F13=0,0,QUOTE_STORICO!F13*LN(2*QUOTE_STORICO!F13/(QUOTE_STORICO!F13+QUOTE_STORICO!E13)))/2+IF(QUOTE_STORICO!E13=0,0,QUOTE_STORICO!E13*LN(2*QUOTE_STORICO!E13/(QUOTE_STORICO!F13+QUOTE_STORICO!E13)))/2)</x:f>
      </x:c>
      <x:c r="G13" s="92" t="str">
        <x:f>IF(OR(QUOTE_STORICO!G13="",QUOTE_STORICO!F13=""),"",IF(QUOTE_STORICO!G13=0,0,QUOTE_STORICO!G13*LN(2*QUOTE_STORICO!G13/(QUOTE_STORICO!G13+QUOTE_STORICO!F13)))/2+IF(QUOTE_STORICO!F13=0,0,QUOTE_STORICO!F13*LN(2*QUOTE_STORICO!F13/(QUOTE_STORICO!G13+QUOTE_STORICO!F13)))/2)</x:f>
      </x:c>
      <x:c r="H13" s="92" t="str">
        <x:f>IF(OR(QUOTE_STORICO!H13="",QUOTE_STORICO!G13=""),"",IF(QUOTE_STORICO!H13=0,0,QUOTE_STORICO!H13*LN(2*QUOTE_STORICO!H13/(QUOTE_STORICO!H13+QUOTE_STORICO!G13)))/2+IF(QUOTE_STORICO!G13=0,0,QUOTE_STORICO!G13*LN(2*QUOTE_STORICO!G13/(QUOTE_STORICO!H13+QUOTE_STORICO!G13)))/2)</x:f>
      </x:c>
      <x:c r="I13" s="92" t="str">
        <x:f>IF(OR(QUOTE_STORICO!I13="",QUOTE_STORICO!H13=""),"",IF(QUOTE_STORICO!I13=0,0,QUOTE_STORICO!I13*LN(2*QUOTE_STORICO!I13/(QUOTE_STORICO!I13+QUOTE_STORICO!H13)))/2+IF(QUOTE_STORICO!H13=0,0,QUOTE_STORICO!H13*LN(2*QUOTE_STORICO!H13/(QUOTE_STORICO!I13+QUOTE_STORICO!H13)))/2)</x:f>
      </x:c>
      <x:c r="J13" s="92" t="str">
        <x:f>IF(OR(QUOTE_STORICO!J13="",QUOTE_STORICO!I13=""),"",IF(QUOTE_STORICO!J13=0,0,QUOTE_STORICO!J13*LN(2*QUOTE_STORICO!J13/(QUOTE_STORICO!J13+QUOTE_STORICO!I13)))/2+IF(QUOTE_STORICO!I13=0,0,QUOTE_STORICO!I13*LN(2*QUOTE_STORICO!I13/(QUOTE_STORICO!J13+QUOTE_STORICO!I13)))/2)</x:f>
      </x:c>
      <x:c r="K13" s="92" t="str">
        <x:f>IF(OR(QUOTE_STORICO!K13="",QUOTE_STORICO!J13=""),"",IF(QUOTE_STORICO!K13=0,0,QUOTE_STORICO!K13*LN(2*QUOTE_STORICO!K13/(QUOTE_STORICO!K13+QUOTE_STORICO!J13)))/2+IF(QUOTE_STORICO!J13=0,0,QUOTE_STORICO!J13*LN(2*QUOTE_STORICO!J13/(QUOTE_STORICO!K13+QUOTE_STORICO!J13)))/2)</x:f>
      </x:c>
      <x:c r="L13" s="92" t="str">
        <x:f>IF(OR(QUOTE_STORICO!L13="",QUOTE_STORICO!K13=""),"",IF(QUOTE_STORICO!L13=0,0,QUOTE_STORICO!L13*LN(2*QUOTE_STORICO!L13/(QUOTE_STORICO!L13+QUOTE_STORICO!K13)))/2+IF(QUOTE_STORICO!K13=0,0,QUOTE_STORICO!K13*LN(2*QUOTE_STORICO!K13/(QUOTE_STORICO!L13+QUOTE_STORICO!K13)))/2)</x:f>
      </x:c>
      <x:c r="M13" s="92" t="str">
        <x:f>IF(OR(QUOTE_STORICO!M13="",QUOTE_STORICO!L13=""),"",IF(QUOTE_STORICO!M13=0,0,QUOTE_STORICO!M13*LN(2*QUOTE_STORICO!M13/(QUOTE_STORICO!M13+QUOTE_STORICO!L13)))/2+IF(QUOTE_STORICO!L13=0,0,QUOTE_STORICO!L13*LN(2*QUOTE_STORICO!L13/(QUOTE_STORICO!M13+QUOTE_STORICO!L13)))/2)</x:f>
      </x:c>
      <x:c r="N13" s="92" t="str">
        <x:f>IF(OR(QUOTE_STORICO!N13="",QUOTE_STORICO!M13=""),"",IF(QUOTE_STORICO!N13=0,0,QUOTE_STORICO!N13*LN(2*QUOTE_STORICO!N13/(QUOTE_STORICO!N13+QUOTE_STORICO!M13)))/2+IF(QUOTE_STORICO!M13=0,0,QUOTE_STORICO!M13*LN(2*QUOTE_STORICO!M13/(QUOTE_STORICO!N13+QUOTE_STORICO!M13)))/2)</x:f>
      </x:c>
    </x:row>
    <x:row r="14">
      <x:c r="A14" t="str">
        <x:v>Marche</x:v>
      </x:c>
      <x:c r="B14" s="92"/>
      <x:c r="C14" s="92" t="str">
        <x:f>IF(OR(QUOTE_STORICO!C14="",QUOTE_STORICO!B14=""),"",IF(QUOTE_STORICO!C14=0,0,QUOTE_STORICO!C14*LN(2*QUOTE_STORICO!C14/(QUOTE_STORICO!C14+QUOTE_STORICO!B14)))/2+IF(QUOTE_STORICO!B14=0,0,QUOTE_STORICO!B14*LN(2*QUOTE_STORICO!B14/(QUOTE_STORICO!C14+QUOTE_STORICO!B14)))/2)</x:f>
      </x:c>
      <x:c r="D14" s="92" t="str">
        <x:f>IF(OR(QUOTE_STORICO!D14="",QUOTE_STORICO!C14=""),"",IF(QUOTE_STORICO!D14=0,0,QUOTE_STORICO!D14*LN(2*QUOTE_STORICO!D14/(QUOTE_STORICO!D14+QUOTE_STORICO!C14)))/2+IF(QUOTE_STORICO!C14=0,0,QUOTE_STORICO!C14*LN(2*QUOTE_STORICO!C14/(QUOTE_STORICO!D14+QUOTE_STORICO!C14)))/2)</x:f>
      </x:c>
      <x:c r="E14" s="92" t="str">
        <x:f>IF(OR(QUOTE_STORICO!E14="",QUOTE_STORICO!D14=""),"",IF(QUOTE_STORICO!E14=0,0,QUOTE_STORICO!E14*LN(2*QUOTE_STORICO!E14/(QUOTE_STORICO!E14+QUOTE_STORICO!D14)))/2+IF(QUOTE_STORICO!D14=0,0,QUOTE_STORICO!D14*LN(2*QUOTE_STORICO!D14/(QUOTE_STORICO!E14+QUOTE_STORICO!D14)))/2)</x:f>
      </x:c>
      <x:c r="F14" s="92" t="str">
        <x:f>IF(OR(QUOTE_STORICO!F14="",QUOTE_STORICO!E14=""),"",IF(QUOTE_STORICO!F14=0,0,QUOTE_STORICO!F14*LN(2*QUOTE_STORICO!F14/(QUOTE_STORICO!F14+QUOTE_STORICO!E14)))/2+IF(QUOTE_STORICO!E14=0,0,QUOTE_STORICO!E14*LN(2*QUOTE_STORICO!E14/(QUOTE_STORICO!F14+QUOTE_STORICO!E14)))/2)</x:f>
      </x:c>
      <x:c r="G14" s="92" t="str">
        <x:f>IF(OR(QUOTE_STORICO!G14="",QUOTE_STORICO!F14=""),"",IF(QUOTE_STORICO!G14=0,0,QUOTE_STORICO!G14*LN(2*QUOTE_STORICO!G14/(QUOTE_STORICO!G14+QUOTE_STORICO!F14)))/2+IF(QUOTE_STORICO!F14=0,0,QUOTE_STORICO!F14*LN(2*QUOTE_STORICO!F14/(QUOTE_STORICO!G14+QUOTE_STORICO!F14)))/2)</x:f>
      </x:c>
      <x:c r="H14" s="92" t="str">
        <x:f>IF(OR(QUOTE_STORICO!H14="",QUOTE_STORICO!G14=""),"",IF(QUOTE_STORICO!H14=0,0,QUOTE_STORICO!H14*LN(2*QUOTE_STORICO!H14/(QUOTE_STORICO!H14+QUOTE_STORICO!G14)))/2+IF(QUOTE_STORICO!G14=0,0,QUOTE_STORICO!G14*LN(2*QUOTE_STORICO!G14/(QUOTE_STORICO!H14+QUOTE_STORICO!G14)))/2)</x:f>
      </x:c>
      <x:c r="I14" s="92" t="str">
        <x:f>IF(OR(QUOTE_STORICO!I14="",QUOTE_STORICO!H14=""),"",IF(QUOTE_STORICO!I14=0,0,QUOTE_STORICO!I14*LN(2*QUOTE_STORICO!I14/(QUOTE_STORICO!I14+QUOTE_STORICO!H14)))/2+IF(QUOTE_STORICO!H14=0,0,QUOTE_STORICO!H14*LN(2*QUOTE_STORICO!H14/(QUOTE_STORICO!I14+QUOTE_STORICO!H14)))/2)</x:f>
      </x:c>
      <x:c r="J14" s="92" t="str">
        <x:f>IF(OR(QUOTE_STORICO!J14="",QUOTE_STORICO!I14=""),"",IF(QUOTE_STORICO!J14=0,0,QUOTE_STORICO!J14*LN(2*QUOTE_STORICO!J14/(QUOTE_STORICO!J14+QUOTE_STORICO!I14)))/2+IF(QUOTE_STORICO!I14=0,0,QUOTE_STORICO!I14*LN(2*QUOTE_STORICO!I14/(QUOTE_STORICO!J14+QUOTE_STORICO!I14)))/2)</x:f>
      </x:c>
      <x:c r="K14" s="92" t="str">
        <x:f>IF(OR(QUOTE_STORICO!K14="",QUOTE_STORICO!J14=""),"",IF(QUOTE_STORICO!K14=0,0,QUOTE_STORICO!K14*LN(2*QUOTE_STORICO!K14/(QUOTE_STORICO!K14+QUOTE_STORICO!J14)))/2+IF(QUOTE_STORICO!J14=0,0,QUOTE_STORICO!J14*LN(2*QUOTE_STORICO!J14/(QUOTE_STORICO!K14+QUOTE_STORICO!J14)))/2)</x:f>
      </x:c>
      <x:c r="L14" s="92" t="str">
        <x:f>IF(OR(QUOTE_STORICO!L14="",QUOTE_STORICO!K14=""),"",IF(QUOTE_STORICO!L14=0,0,QUOTE_STORICO!L14*LN(2*QUOTE_STORICO!L14/(QUOTE_STORICO!L14+QUOTE_STORICO!K14)))/2+IF(QUOTE_STORICO!K14=0,0,QUOTE_STORICO!K14*LN(2*QUOTE_STORICO!K14/(QUOTE_STORICO!L14+QUOTE_STORICO!K14)))/2)</x:f>
      </x:c>
      <x:c r="M14" s="92" t="str">
        <x:f>IF(OR(QUOTE_STORICO!M14="",QUOTE_STORICO!L14=""),"",IF(QUOTE_STORICO!M14=0,0,QUOTE_STORICO!M14*LN(2*QUOTE_STORICO!M14/(QUOTE_STORICO!M14+QUOTE_STORICO!L14)))/2+IF(QUOTE_STORICO!L14=0,0,QUOTE_STORICO!L14*LN(2*QUOTE_STORICO!L14/(QUOTE_STORICO!M14+QUOTE_STORICO!L14)))/2)</x:f>
      </x:c>
      <x:c r="N14" s="92" t="str">
        <x:f>IF(OR(QUOTE_STORICO!N14="",QUOTE_STORICO!M14=""),"",IF(QUOTE_STORICO!N14=0,0,QUOTE_STORICO!N14*LN(2*QUOTE_STORICO!N14/(QUOTE_STORICO!N14+QUOTE_STORICO!M14)))/2+IF(QUOTE_STORICO!M14=0,0,QUOTE_STORICO!M14*LN(2*QUOTE_STORICO!M14/(QUOTE_STORICO!N14+QUOTE_STORICO!M14)))/2)</x:f>
      </x:c>
    </x:row>
    <x:row r="15">
      <x:c r="A15" t="str">
        <x:v>Lazio</x:v>
      </x:c>
      <x:c r="B15" s="92"/>
      <x:c r="C15" s="92" t="str">
        <x:f>IF(OR(QUOTE_STORICO!C15="",QUOTE_STORICO!B15=""),"",IF(QUOTE_STORICO!C15=0,0,QUOTE_STORICO!C15*LN(2*QUOTE_STORICO!C15/(QUOTE_STORICO!C15+QUOTE_STORICO!B15)))/2+IF(QUOTE_STORICO!B15=0,0,QUOTE_STORICO!B15*LN(2*QUOTE_STORICO!B15/(QUOTE_STORICO!C15+QUOTE_STORICO!B15)))/2)</x:f>
      </x:c>
      <x:c r="D15" s="92" t="str">
        <x:f>IF(OR(QUOTE_STORICO!D15="",QUOTE_STORICO!C15=""),"",IF(QUOTE_STORICO!D15=0,0,QUOTE_STORICO!D15*LN(2*QUOTE_STORICO!D15/(QUOTE_STORICO!D15+QUOTE_STORICO!C15)))/2+IF(QUOTE_STORICO!C15=0,0,QUOTE_STORICO!C15*LN(2*QUOTE_STORICO!C15/(QUOTE_STORICO!D15+QUOTE_STORICO!C15)))/2)</x:f>
      </x:c>
      <x:c r="E15" s="92" t="str">
        <x:f>IF(OR(QUOTE_STORICO!E15="",QUOTE_STORICO!D15=""),"",IF(QUOTE_STORICO!E15=0,0,QUOTE_STORICO!E15*LN(2*QUOTE_STORICO!E15/(QUOTE_STORICO!E15+QUOTE_STORICO!D15)))/2+IF(QUOTE_STORICO!D15=0,0,QUOTE_STORICO!D15*LN(2*QUOTE_STORICO!D15/(QUOTE_STORICO!E15+QUOTE_STORICO!D15)))/2)</x:f>
      </x:c>
      <x:c r="F15" s="92" t="str">
        <x:f>IF(OR(QUOTE_STORICO!F15="",QUOTE_STORICO!E15=""),"",IF(QUOTE_STORICO!F15=0,0,QUOTE_STORICO!F15*LN(2*QUOTE_STORICO!F15/(QUOTE_STORICO!F15+QUOTE_STORICO!E15)))/2+IF(QUOTE_STORICO!E15=0,0,QUOTE_STORICO!E15*LN(2*QUOTE_STORICO!E15/(QUOTE_STORICO!F15+QUOTE_STORICO!E15)))/2)</x:f>
      </x:c>
      <x:c r="G15" s="92" t="str">
        <x:f>IF(OR(QUOTE_STORICO!G15="",QUOTE_STORICO!F15=""),"",IF(QUOTE_STORICO!G15=0,0,QUOTE_STORICO!G15*LN(2*QUOTE_STORICO!G15/(QUOTE_STORICO!G15+QUOTE_STORICO!F15)))/2+IF(QUOTE_STORICO!F15=0,0,QUOTE_STORICO!F15*LN(2*QUOTE_STORICO!F15/(QUOTE_STORICO!G15+QUOTE_STORICO!F15)))/2)</x:f>
      </x:c>
      <x:c r="H15" s="92" t="str">
        <x:f>IF(OR(QUOTE_STORICO!H15="",QUOTE_STORICO!G15=""),"",IF(QUOTE_STORICO!H15=0,0,QUOTE_STORICO!H15*LN(2*QUOTE_STORICO!H15/(QUOTE_STORICO!H15+QUOTE_STORICO!G15)))/2+IF(QUOTE_STORICO!G15=0,0,QUOTE_STORICO!G15*LN(2*QUOTE_STORICO!G15/(QUOTE_STORICO!H15+QUOTE_STORICO!G15)))/2)</x:f>
      </x:c>
      <x:c r="I15" s="92" t="str">
        <x:f>IF(OR(QUOTE_STORICO!I15="",QUOTE_STORICO!H15=""),"",IF(QUOTE_STORICO!I15=0,0,QUOTE_STORICO!I15*LN(2*QUOTE_STORICO!I15/(QUOTE_STORICO!I15+QUOTE_STORICO!H15)))/2+IF(QUOTE_STORICO!H15=0,0,QUOTE_STORICO!H15*LN(2*QUOTE_STORICO!H15/(QUOTE_STORICO!I15+QUOTE_STORICO!H15)))/2)</x:f>
      </x:c>
      <x:c r="J15" s="92" t="str">
        <x:f>IF(OR(QUOTE_STORICO!J15="",QUOTE_STORICO!I15=""),"",IF(QUOTE_STORICO!J15=0,0,QUOTE_STORICO!J15*LN(2*QUOTE_STORICO!J15/(QUOTE_STORICO!J15+QUOTE_STORICO!I15)))/2+IF(QUOTE_STORICO!I15=0,0,QUOTE_STORICO!I15*LN(2*QUOTE_STORICO!I15/(QUOTE_STORICO!J15+QUOTE_STORICO!I15)))/2)</x:f>
      </x:c>
      <x:c r="K15" s="92" t="str">
        <x:f>IF(OR(QUOTE_STORICO!K15="",QUOTE_STORICO!J15=""),"",IF(QUOTE_STORICO!K15=0,0,QUOTE_STORICO!K15*LN(2*QUOTE_STORICO!K15/(QUOTE_STORICO!K15+QUOTE_STORICO!J15)))/2+IF(QUOTE_STORICO!J15=0,0,QUOTE_STORICO!J15*LN(2*QUOTE_STORICO!J15/(QUOTE_STORICO!K15+QUOTE_STORICO!J15)))/2)</x:f>
      </x:c>
      <x:c r="L15" s="92" t="str">
        <x:f>IF(OR(QUOTE_STORICO!L15="",QUOTE_STORICO!K15=""),"",IF(QUOTE_STORICO!L15=0,0,QUOTE_STORICO!L15*LN(2*QUOTE_STORICO!L15/(QUOTE_STORICO!L15+QUOTE_STORICO!K15)))/2+IF(QUOTE_STORICO!K15=0,0,QUOTE_STORICO!K15*LN(2*QUOTE_STORICO!K15/(QUOTE_STORICO!L15+QUOTE_STORICO!K15)))/2)</x:f>
      </x:c>
      <x:c r="M15" s="92" t="str">
        <x:f>IF(OR(QUOTE_STORICO!M15="",QUOTE_STORICO!L15=""),"",IF(QUOTE_STORICO!M15=0,0,QUOTE_STORICO!M15*LN(2*QUOTE_STORICO!M15/(QUOTE_STORICO!M15+QUOTE_STORICO!L15)))/2+IF(QUOTE_STORICO!L15=0,0,QUOTE_STORICO!L15*LN(2*QUOTE_STORICO!L15/(QUOTE_STORICO!M15+QUOTE_STORICO!L15)))/2)</x:f>
      </x:c>
      <x:c r="N15" s="92" t="str">
        <x:f>IF(OR(QUOTE_STORICO!N15="",QUOTE_STORICO!M15=""),"",IF(QUOTE_STORICO!N15=0,0,QUOTE_STORICO!N15*LN(2*QUOTE_STORICO!N15/(QUOTE_STORICO!N15+QUOTE_STORICO!M15)))/2+IF(QUOTE_STORICO!M15=0,0,QUOTE_STORICO!M15*LN(2*QUOTE_STORICO!M15/(QUOTE_STORICO!N15+QUOTE_STORICO!M15)))/2)</x:f>
      </x:c>
    </x:row>
    <x:row r="16">
      <x:c r="A16" t="str">
        <x:v>Abruzzo</x:v>
      </x:c>
      <x:c r="B16" s="92"/>
      <x:c r="C16" s="92" t="str">
        <x:f>IF(OR(QUOTE_STORICO!C16="",QUOTE_STORICO!B16=""),"",IF(QUOTE_STORICO!C16=0,0,QUOTE_STORICO!C16*LN(2*QUOTE_STORICO!C16/(QUOTE_STORICO!C16+QUOTE_STORICO!B16)))/2+IF(QUOTE_STORICO!B16=0,0,QUOTE_STORICO!B16*LN(2*QUOTE_STORICO!B16/(QUOTE_STORICO!C16+QUOTE_STORICO!B16)))/2)</x:f>
      </x:c>
      <x:c r="D16" s="92" t="str">
        <x:f>IF(OR(QUOTE_STORICO!D16="",QUOTE_STORICO!C16=""),"",IF(QUOTE_STORICO!D16=0,0,QUOTE_STORICO!D16*LN(2*QUOTE_STORICO!D16/(QUOTE_STORICO!D16+QUOTE_STORICO!C16)))/2+IF(QUOTE_STORICO!C16=0,0,QUOTE_STORICO!C16*LN(2*QUOTE_STORICO!C16/(QUOTE_STORICO!D16+QUOTE_STORICO!C16)))/2)</x:f>
      </x:c>
      <x:c r="E16" s="92" t="str">
        <x:f>IF(OR(QUOTE_STORICO!E16="",QUOTE_STORICO!D16=""),"",IF(QUOTE_STORICO!E16=0,0,QUOTE_STORICO!E16*LN(2*QUOTE_STORICO!E16/(QUOTE_STORICO!E16+QUOTE_STORICO!D16)))/2+IF(QUOTE_STORICO!D16=0,0,QUOTE_STORICO!D16*LN(2*QUOTE_STORICO!D16/(QUOTE_STORICO!E16+QUOTE_STORICO!D16)))/2)</x:f>
      </x:c>
      <x:c r="F16" s="92" t="str">
        <x:f>IF(OR(QUOTE_STORICO!F16="",QUOTE_STORICO!E16=""),"",IF(QUOTE_STORICO!F16=0,0,QUOTE_STORICO!F16*LN(2*QUOTE_STORICO!F16/(QUOTE_STORICO!F16+QUOTE_STORICO!E16)))/2+IF(QUOTE_STORICO!E16=0,0,QUOTE_STORICO!E16*LN(2*QUOTE_STORICO!E16/(QUOTE_STORICO!F16+QUOTE_STORICO!E16)))/2)</x:f>
      </x:c>
      <x:c r="G16" s="92" t="str">
        <x:f>IF(OR(QUOTE_STORICO!G16="",QUOTE_STORICO!F16=""),"",IF(QUOTE_STORICO!G16=0,0,QUOTE_STORICO!G16*LN(2*QUOTE_STORICO!G16/(QUOTE_STORICO!G16+QUOTE_STORICO!F16)))/2+IF(QUOTE_STORICO!F16=0,0,QUOTE_STORICO!F16*LN(2*QUOTE_STORICO!F16/(QUOTE_STORICO!G16+QUOTE_STORICO!F16)))/2)</x:f>
      </x:c>
      <x:c r="H16" s="92" t="str">
        <x:f>IF(OR(QUOTE_STORICO!H16="",QUOTE_STORICO!G16=""),"",IF(QUOTE_STORICO!H16=0,0,QUOTE_STORICO!H16*LN(2*QUOTE_STORICO!H16/(QUOTE_STORICO!H16+QUOTE_STORICO!G16)))/2+IF(QUOTE_STORICO!G16=0,0,QUOTE_STORICO!G16*LN(2*QUOTE_STORICO!G16/(QUOTE_STORICO!H16+QUOTE_STORICO!G16)))/2)</x:f>
      </x:c>
      <x:c r="I16" s="92" t="str">
        <x:f>IF(OR(QUOTE_STORICO!I16="",QUOTE_STORICO!H16=""),"",IF(QUOTE_STORICO!I16=0,0,QUOTE_STORICO!I16*LN(2*QUOTE_STORICO!I16/(QUOTE_STORICO!I16+QUOTE_STORICO!H16)))/2+IF(QUOTE_STORICO!H16=0,0,QUOTE_STORICO!H16*LN(2*QUOTE_STORICO!H16/(QUOTE_STORICO!I16+QUOTE_STORICO!H16)))/2)</x:f>
      </x:c>
      <x:c r="J16" s="92" t="str">
        <x:f>IF(OR(QUOTE_STORICO!J16="",QUOTE_STORICO!I16=""),"",IF(QUOTE_STORICO!J16=0,0,QUOTE_STORICO!J16*LN(2*QUOTE_STORICO!J16/(QUOTE_STORICO!J16+QUOTE_STORICO!I16)))/2+IF(QUOTE_STORICO!I16=0,0,QUOTE_STORICO!I16*LN(2*QUOTE_STORICO!I16/(QUOTE_STORICO!J16+QUOTE_STORICO!I16)))/2)</x:f>
      </x:c>
      <x:c r="K16" s="92" t="str">
        <x:f>IF(OR(QUOTE_STORICO!K16="",QUOTE_STORICO!J16=""),"",IF(QUOTE_STORICO!K16=0,0,QUOTE_STORICO!K16*LN(2*QUOTE_STORICO!K16/(QUOTE_STORICO!K16+QUOTE_STORICO!J16)))/2+IF(QUOTE_STORICO!J16=0,0,QUOTE_STORICO!J16*LN(2*QUOTE_STORICO!J16/(QUOTE_STORICO!K16+QUOTE_STORICO!J16)))/2)</x:f>
      </x:c>
      <x:c r="L16" s="92" t="str">
        <x:f>IF(OR(QUOTE_STORICO!L16="",QUOTE_STORICO!K16=""),"",IF(QUOTE_STORICO!L16=0,0,QUOTE_STORICO!L16*LN(2*QUOTE_STORICO!L16/(QUOTE_STORICO!L16+QUOTE_STORICO!K16)))/2+IF(QUOTE_STORICO!K16=0,0,QUOTE_STORICO!K16*LN(2*QUOTE_STORICO!K16/(QUOTE_STORICO!L16+QUOTE_STORICO!K16)))/2)</x:f>
      </x:c>
      <x:c r="M16" s="92" t="str">
        <x:f>IF(OR(QUOTE_STORICO!M16="",QUOTE_STORICO!L16=""),"",IF(QUOTE_STORICO!M16=0,0,QUOTE_STORICO!M16*LN(2*QUOTE_STORICO!M16/(QUOTE_STORICO!M16+QUOTE_STORICO!L16)))/2+IF(QUOTE_STORICO!L16=0,0,QUOTE_STORICO!L16*LN(2*QUOTE_STORICO!L16/(QUOTE_STORICO!M16+QUOTE_STORICO!L16)))/2)</x:f>
      </x:c>
      <x:c r="N16" s="92" t="str">
        <x:f>IF(OR(QUOTE_STORICO!N16="",QUOTE_STORICO!M16=""),"",IF(QUOTE_STORICO!N16=0,0,QUOTE_STORICO!N16*LN(2*QUOTE_STORICO!N16/(QUOTE_STORICO!N16+QUOTE_STORICO!M16)))/2+IF(QUOTE_STORICO!M16=0,0,QUOTE_STORICO!M16*LN(2*QUOTE_STORICO!M16/(QUOTE_STORICO!N16+QUOTE_STORICO!M16)))/2)</x:f>
      </x:c>
    </x:row>
    <x:row r="17">
      <x:c r="A17" t="str">
        <x:v>Molise</x:v>
      </x:c>
      <x:c r="B17" s="92"/>
      <x:c r="C17" s="92" t="str">
        <x:f>IF(OR(QUOTE_STORICO!C17="",QUOTE_STORICO!B17=""),"",IF(QUOTE_STORICO!C17=0,0,QUOTE_STORICO!C17*LN(2*QUOTE_STORICO!C17/(QUOTE_STORICO!C17+QUOTE_STORICO!B17)))/2+IF(QUOTE_STORICO!B17=0,0,QUOTE_STORICO!B17*LN(2*QUOTE_STORICO!B17/(QUOTE_STORICO!C17+QUOTE_STORICO!B17)))/2)</x:f>
      </x:c>
      <x:c r="D17" s="92" t="str">
        <x:f>IF(OR(QUOTE_STORICO!D17="",QUOTE_STORICO!C17=""),"",IF(QUOTE_STORICO!D17=0,0,QUOTE_STORICO!D17*LN(2*QUOTE_STORICO!D17/(QUOTE_STORICO!D17+QUOTE_STORICO!C17)))/2+IF(QUOTE_STORICO!C17=0,0,QUOTE_STORICO!C17*LN(2*QUOTE_STORICO!C17/(QUOTE_STORICO!D17+QUOTE_STORICO!C17)))/2)</x:f>
      </x:c>
      <x:c r="E17" s="92" t="str">
        <x:f>IF(OR(QUOTE_STORICO!E17="",QUOTE_STORICO!D17=""),"",IF(QUOTE_STORICO!E17=0,0,QUOTE_STORICO!E17*LN(2*QUOTE_STORICO!E17/(QUOTE_STORICO!E17+QUOTE_STORICO!D17)))/2+IF(QUOTE_STORICO!D17=0,0,QUOTE_STORICO!D17*LN(2*QUOTE_STORICO!D17/(QUOTE_STORICO!E17+QUOTE_STORICO!D17)))/2)</x:f>
      </x:c>
      <x:c r="F17" s="92" t="str">
        <x:f>IF(OR(QUOTE_STORICO!F17="",QUOTE_STORICO!E17=""),"",IF(QUOTE_STORICO!F17=0,0,QUOTE_STORICO!F17*LN(2*QUOTE_STORICO!F17/(QUOTE_STORICO!F17+QUOTE_STORICO!E17)))/2+IF(QUOTE_STORICO!E17=0,0,QUOTE_STORICO!E17*LN(2*QUOTE_STORICO!E17/(QUOTE_STORICO!F17+QUOTE_STORICO!E17)))/2)</x:f>
      </x:c>
      <x:c r="G17" s="92" t="str">
        <x:f>IF(OR(QUOTE_STORICO!G17="",QUOTE_STORICO!F17=""),"",IF(QUOTE_STORICO!G17=0,0,QUOTE_STORICO!G17*LN(2*QUOTE_STORICO!G17/(QUOTE_STORICO!G17+QUOTE_STORICO!F17)))/2+IF(QUOTE_STORICO!F17=0,0,QUOTE_STORICO!F17*LN(2*QUOTE_STORICO!F17/(QUOTE_STORICO!G17+QUOTE_STORICO!F17)))/2)</x:f>
      </x:c>
      <x:c r="H17" s="92" t="str">
        <x:f>IF(OR(QUOTE_STORICO!H17="",QUOTE_STORICO!G17=""),"",IF(QUOTE_STORICO!H17=0,0,QUOTE_STORICO!H17*LN(2*QUOTE_STORICO!H17/(QUOTE_STORICO!H17+QUOTE_STORICO!G17)))/2+IF(QUOTE_STORICO!G17=0,0,QUOTE_STORICO!G17*LN(2*QUOTE_STORICO!G17/(QUOTE_STORICO!H17+QUOTE_STORICO!G17)))/2)</x:f>
      </x:c>
      <x:c r="I17" s="92" t="str">
        <x:f>IF(OR(QUOTE_STORICO!I17="",QUOTE_STORICO!H17=""),"",IF(QUOTE_STORICO!I17=0,0,QUOTE_STORICO!I17*LN(2*QUOTE_STORICO!I17/(QUOTE_STORICO!I17+QUOTE_STORICO!H17)))/2+IF(QUOTE_STORICO!H17=0,0,QUOTE_STORICO!H17*LN(2*QUOTE_STORICO!H17/(QUOTE_STORICO!I17+QUOTE_STORICO!H17)))/2)</x:f>
      </x:c>
      <x:c r="J17" s="92" t="str">
        <x:f>IF(OR(QUOTE_STORICO!J17="",QUOTE_STORICO!I17=""),"",IF(QUOTE_STORICO!J17=0,0,QUOTE_STORICO!J17*LN(2*QUOTE_STORICO!J17/(QUOTE_STORICO!J17+QUOTE_STORICO!I17)))/2+IF(QUOTE_STORICO!I17=0,0,QUOTE_STORICO!I17*LN(2*QUOTE_STORICO!I17/(QUOTE_STORICO!J17+QUOTE_STORICO!I17)))/2)</x:f>
      </x:c>
      <x:c r="K17" s="92" t="str">
        <x:f>IF(OR(QUOTE_STORICO!K17="",QUOTE_STORICO!J17=""),"",IF(QUOTE_STORICO!K17=0,0,QUOTE_STORICO!K17*LN(2*QUOTE_STORICO!K17/(QUOTE_STORICO!K17+QUOTE_STORICO!J17)))/2+IF(QUOTE_STORICO!J17=0,0,QUOTE_STORICO!J17*LN(2*QUOTE_STORICO!J17/(QUOTE_STORICO!K17+QUOTE_STORICO!J17)))/2)</x:f>
      </x:c>
      <x:c r="L17" s="92" t="str">
        <x:f>IF(OR(QUOTE_STORICO!L17="",QUOTE_STORICO!K17=""),"",IF(QUOTE_STORICO!L17=0,0,QUOTE_STORICO!L17*LN(2*QUOTE_STORICO!L17/(QUOTE_STORICO!L17+QUOTE_STORICO!K17)))/2+IF(QUOTE_STORICO!K17=0,0,QUOTE_STORICO!K17*LN(2*QUOTE_STORICO!K17/(QUOTE_STORICO!L17+QUOTE_STORICO!K17)))/2)</x:f>
      </x:c>
      <x:c r="M17" s="92" t="str">
        <x:f>IF(OR(QUOTE_STORICO!M17="",QUOTE_STORICO!L17=""),"",IF(QUOTE_STORICO!M17=0,0,QUOTE_STORICO!M17*LN(2*QUOTE_STORICO!M17/(QUOTE_STORICO!M17+QUOTE_STORICO!L17)))/2+IF(QUOTE_STORICO!L17=0,0,QUOTE_STORICO!L17*LN(2*QUOTE_STORICO!L17/(QUOTE_STORICO!M17+QUOTE_STORICO!L17)))/2)</x:f>
      </x:c>
      <x:c r="N17" s="92" t="str">
        <x:f>IF(OR(QUOTE_STORICO!N17="",QUOTE_STORICO!M17=""),"",IF(QUOTE_STORICO!N17=0,0,QUOTE_STORICO!N17*LN(2*QUOTE_STORICO!N17/(QUOTE_STORICO!N17+QUOTE_STORICO!M17)))/2+IF(QUOTE_STORICO!M17=0,0,QUOTE_STORICO!M17*LN(2*QUOTE_STORICO!M17/(QUOTE_STORICO!N17+QUOTE_STORICO!M17)))/2)</x:f>
      </x:c>
    </x:row>
    <x:row r="18">
      <x:c r="A18" t="str">
        <x:v>Campania</x:v>
      </x:c>
      <x:c r="B18" s="92"/>
      <x:c r="C18" s="92" t="str">
        <x:f>IF(OR(QUOTE_STORICO!C18="",QUOTE_STORICO!B18=""),"",IF(QUOTE_STORICO!C18=0,0,QUOTE_STORICO!C18*LN(2*QUOTE_STORICO!C18/(QUOTE_STORICO!C18+QUOTE_STORICO!B18)))/2+IF(QUOTE_STORICO!B18=0,0,QUOTE_STORICO!B18*LN(2*QUOTE_STORICO!B18/(QUOTE_STORICO!C18+QUOTE_STORICO!B18)))/2)</x:f>
      </x:c>
      <x:c r="D18" s="92" t="str">
        <x:f>IF(OR(QUOTE_STORICO!D18="",QUOTE_STORICO!C18=""),"",IF(QUOTE_STORICO!D18=0,0,QUOTE_STORICO!D18*LN(2*QUOTE_STORICO!D18/(QUOTE_STORICO!D18+QUOTE_STORICO!C18)))/2+IF(QUOTE_STORICO!C18=0,0,QUOTE_STORICO!C18*LN(2*QUOTE_STORICO!C18/(QUOTE_STORICO!D18+QUOTE_STORICO!C18)))/2)</x:f>
      </x:c>
      <x:c r="E18" s="92" t="str">
        <x:f>IF(OR(QUOTE_STORICO!E18="",QUOTE_STORICO!D18=""),"",IF(QUOTE_STORICO!E18=0,0,QUOTE_STORICO!E18*LN(2*QUOTE_STORICO!E18/(QUOTE_STORICO!E18+QUOTE_STORICO!D18)))/2+IF(QUOTE_STORICO!D18=0,0,QUOTE_STORICO!D18*LN(2*QUOTE_STORICO!D18/(QUOTE_STORICO!E18+QUOTE_STORICO!D18)))/2)</x:f>
      </x:c>
      <x:c r="F18" s="92" t="str">
        <x:f>IF(OR(QUOTE_STORICO!F18="",QUOTE_STORICO!E18=""),"",IF(QUOTE_STORICO!F18=0,0,QUOTE_STORICO!F18*LN(2*QUOTE_STORICO!F18/(QUOTE_STORICO!F18+QUOTE_STORICO!E18)))/2+IF(QUOTE_STORICO!E18=0,0,QUOTE_STORICO!E18*LN(2*QUOTE_STORICO!E18/(QUOTE_STORICO!F18+QUOTE_STORICO!E18)))/2)</x:f>
      </x:c>
      <x:c r="G18" s="92" t="str">
        <x:f>IF(OR(QUOTE_STORICO!G18="",QUOTE_STORICO!F18=""),"",IF(QUOTE_STORICO!G18=0,0,QUOTE_STORICO!G18*LN(2*QUOTE_STORICO!G18/(QUOTE_STORICO!G18+QUOTE_STORICO!F18)))/2+IF(QUOTE_STORICO!F18=0,0,QUOTE_STORICO!F18*LN(2*QUOTE_STORICO!F18/(QUOTE_STORICO!G18+QUOTE_STORICO!F18)))/2)</x:f>
      </x:c>
      <x:c r="H18" s="92" t="str">
        <x:f>IF(OR(QUOTE_STORICO!H18="",QUOTE_STORICO!G18=""),"",IF(QUOTE_STORICO!H18=0,0,QUOTE_STORICO!H18*LN(2*QUOTE_STORICO!H18/(QUOTE_STORICO!H18+QUOTE_STORICO!G18)))/2+IF(QUOTE_STORICO!G18=0,0,QUOTE_STORICO!G18*LN(2*QUOTE_STORICO!G18/(QUOTE_STORICO!H18+QUOTE_STORICO!G18)))/2)</x:f>
      </x:c>
      <x:c r="I18" s="92" t="str">
        <x:f>IF(OR(QUOTE_STORICO!I18="",QUOTE_STORICO!H18=""),"",IF(QUOTE_STORICO!I18=0,0,QUOTE_STORICO!I18*LN(2*QUOTE_STORICO!I18/(QUOTE_STORICO!I18+QUOTE_STORICO!H18)))/2+IF(QUOTE_STORICO!H18=0,0,QUOTE_STORICO!H18*LN(2*QUOTE_STORICO!H18/(QUOTE_STORICO!I18+QUOTE_STORICO!H18)))/2)</x:f>
      </x:c>
      <x:c r="J18" s="92" t="str">
        <x:f>IF(OR(QUOTE_STORICO!J18="",QUOTE_STORICO!I18=""),"",IF(QUOTE_STORICO!J18=0,0,QUOTE_STORICO!J18*LN(2*QUOTE_STORICO!J18/(QUOTE_STORICO!J18+QUOTE_STORICO!I18)))/2+IF(QUOTE_STORICO!I18=0,0,QUOTE_STORICO!I18*LN(2*QUOTE_STORICO!I18/(QUOTE_STORICO!J18+QUOTE_STORICO!I18)))/2)</x:f>
      </x:c>
      <x:c r="K18" s="92" t="str">
        <x:f>IF(OR(QUOTE_STORICO!K18="",QUOTE_STORICO!J18=""),"",IF(QUOTE_STORICO!K18=0,0,QUOTE_STORICO!K18*LN(2*QUOTE_STORICO!K18/(QUOTE_STORICO!K18+QUOTE_STORICO!J18)))/2+IF(QUOTE_STORICO!J18=0,0,QUOTE_STORICO!J18*LN(2*QUOTE_STORICO!J18/(QUOTE_STORICO!K18+QUOTE_STORICO!J18)))/2)</x:f>
      </x:c>
      <x:c r="L18" s="92" t="str">
        <x:f>IF(OR(QUOTE_STORICO!L18="",QUOTE_STORICO!K18=""),"",IF(QUOTE_STORICO!L18=0,0,QUOTE_STORICO!L18*LN(2*QUOTE_STORICO!L18/(QUOTE_STORICO!L18+QUOTE_STORICO!K18)))/2+IF(QUOTE_STORICO!K18=0,0,QUOTE_STORICO!K18*LN(2*QUOTE_STORICO!K18/(QUOTE_STORICO!L18+QUOTE_STORICO!K18)))/2)</x:f>
      </x:c>
      <x:c r="M18" s="92" t="str">
        <x:f>IF(OR(QUOTE_STORICO!M18="",QUOTE_STORICO!L18=""),"",IF(QUOTE_STORICO!M18=0,0,QUOTE_STORICO!M18*LN(2*QUOTE_STORICO!M18/(QUOTE_STORICO!M18+QUOTE_STORICO!L18)))/2+IF(QUOTE_STORICO!L18=0,0,QUOTE_STORICO!L18*LN(2*QUOTE_STORICO!L18/(QUOTE_STORICO!M18+QUOTE_STORICO!L18)))/2)</x:f>
      </x:c>
      <x:c r="N18" s="92" t="str">
        <x:f>IF(OR(QUOTE_STORICO!N18="",QUOTE_STORICO!M18=""),"",IF(QUOTE_STORICO!N18=0,0,QUOTE_STORICO!N18*LN(2*QUOTE_STORICO!N18/(QUOTE_STORICO!N18+QUOTE_STORICO!M18)))/2+IF(QUOTE_STORICO!M18=0,0,QUOTE_STORICO!M18*LN(2*QUOTE_STORICO!M18/(QUOTE_STORICO!N18+QUOTE_STORICO!M18)))/2)</x:f>
      </x:c>
    </x:row>
    <x:row r="19">
      <x:c r="A19" t="str">
        <x:v>Puglia</x:v>
      </x:c>
      <x:c r="B19" s="92"/>
      <x:c r="C19" s="92" t="str">
        <x:f>IF(OR(QUOTE_STORICO!C19="",QUOTE_STORICO!B19=""),"",IF(QUOTE_STORICO!C19=0,0,QUOTE_STORICO!C19*LN(2*QUOTE_STORICO!C19/(QUOTE_STORICO!C19+QUOTE_STORICO!B19)))/2+IF(QUOTE_STORICO!B19=0,0,QUOTE_STORICO!B19*LN(2*QUOTE_STORICO!B19/(QUOTE_STORICO!C19+QUOTE_STORICO!B19)))/2)</x:f>
      </x:c>
      <x:c r="D19" s="92" t="str">
        <x:f>IF(OR(QUOTE_STORICO!D19="",QUOTE_STORICO!C19=""),"",IF(QUOTE_STORICO!D19=0,0,QUOTE_STORICO!D19*LN(2*QUOTE_STORICO!D19/(QUOTE_STORICO!D19+QUOTE_STORICO!C19)))/2+IF(QUOTE_STORICO!C19=0,0,QUOTE_STORICO!C19*LN(2*QUOTE_STORICO!C19/(QUOTE_STORICO!D19+QUOTE_STORICO!C19)))/2)</x:f>
      </x:c>
      <x:c r="E19" s="92" t="str">
        <x:f>IF(OR(QUOTE_STORICO!E19="",QUOTE_STORICO!D19=""),"",IF(QUOTE_STORICO!E19=0,0,QUOTE_STORICO!E19*LN(2*QUOTE_STORICO!E19/(QUOTE_STORICO!E19+QUOTE_STORICO!D19)))/2+IF(QUOTE_STORICO!D19=0,0,QUOTE_STORICO!D19*LN(2*QUOTE_STORICO!D19/(QUOTE_STORICO!E19+QUOTE_STORICO!D19)))/2)</x:f>
      </x:c>
      <x:c r="F19" s="92" t="str">
        <x:f>IF(OR(QUOTE_STORICO!F19="",QUOTE_STORICO!E19=""),"",IF(QUOTE_STORICO!F19=0,0,QUOTE_STORICO!F19*LN(2*QUOTE_STORICO!F19/(QUOTE_STORICO!F19+QUOTE_STORICO!E19)))/2+IF(QUOTE_STORICO!E19=0,0,QUOTE_STORICO!E19*LN(2*QUOTE_STORICO!E19/(QUOTE_STORICO!F19+QUOTE_STORICO!E19)))/2)</x:f>
      </x:c>
      <x:c r="G19" s="92" t="str">
        <x:f>IF(OR(QUOTE_STORICO!G19="",QUOTE_STORICO!F19=""),"",IF(QUOTE_STORICO!G19=0,0,QUOTE_STORICO!G19*LN(2*QUOTE_STORICO!G19/(QUOTE_STORICO!G19+QUOTE_STORICO!F19)))/2+IF(QUOTE_STORICO!F19=0,0,QUOTE_STORICO!F19*LN(2*QUOTE_STORICO!F19/(QUOTE_STORICO!G19+QUOTE_STORICO!F19)))/2)</x:f>
      </x:c>
      <x:c r="H19" s="92" t="str">
        <x:f>IF(OR(QUOTE_STORICO!H19="",QUOTE_STORICO!G19=""),"",IF(QUOTE_STORICO!H19=0,0,QUOTE_STORICO!H19*LN(2*QUOTE_STORICO!H19/(QUOTE_STORICO!H19+QUOTE_STORICO!G19)))/2+IF(QUOTE_STORICO!G19=0,0,QUOTE_STORICO!G19*LN(2*QUOTE_STORICO!G19/(QUOTE_STORICO!H19+QUOTE_STORICO!G19)))/2)</x:f>
      </x:c>
      <x:c r="I19" s="92" t="str">
        <x:f>IF(OR(QUOTE_STORICO!I19="",QUOTE_STORICO!H19=""),"",IF(QUOTE_STORICO!I19=0,0,QUOTE_STORICO!I19*LN(2*QUOTE_STORICO!I19/(QUOTE_STORICO!I19+QUOTE_STORICO!H19)))/2+IF(QUOTE_STORICO!H19=0,0,QUOTE_STORICO!H19*LN(2*QUOTE_STORICO!H19/(QUOTE_STORICO!I19+QUOTE_STORICO!H19)))/2)</x:f>
      </x:c>
      <x:c r="J19" s="92" t="str">
        <x:f>IF(OR(QUOTE_STORICO!J19="",QUOTE_STORICO!I19=""),"",IF(QUOTE_STORICO!J19=0,0,QUOTE_STORICO!J19*LN(2*QUOTE_STORICO!J19/(QUOTE_STORICO!J19+QUOTE_STORICO!I19)))/2+IF(QUOTE_STORICO!I19=0,0,QUOTE_STORICO!I19*LN(2*QUOTE_STORICO!I19/(QUOTE_STORICO!J19+QUOTE_STORICO!I19)))/2)</x:f>
      </x:c>
      <x:c r="K19" s="92" t="str">
        <x:f>IF(OR(QUOTE_STORICO!K19="",QUOTE_STORICO!J19=""),"",IF(QUOTE_STORICO!K19=0,0,QUOTE_STORICO!K19*LN(2*QUOTE_STORICO!K19/(QUOTE_STORICO!K19+QUOTE_STORICO!J19)))/2+IF(QUOTE_STORICO!J19=0,0,QUOTE_STORICO!J19*LN(2*QUOTE_STORICO!J19/(QUOTE_STORICO!K19+QUOTE_STORICO!J19)))/2)</x:f>
      </x:c>
      <x:c r="L19" s="92" t="str">
        <x:f>IF(OR(QUOTE_STORICO!L19="",QUOTE_STORICO!K19=""),"",IF(QUOTE_STORICO!L19=0,0,QUOTE_STORICO!L19*LN(2*QUOTE_STORICO!L19/(QUOTE_STORICO!L19+QUOTE_STORICO!K19)))/2+IF(QUOTE_STORICO!K19=0,0,QUOTE_STORICO!K19*LN(2*QUOTE_STORICO!K19/(QUOTE_STORICO!L19+QUOTE_STORICO!K19)))/2)</x:f>
      </x:c>
      <x:c r="M19" s="92" t="str">
        <x:f>IF(OR(QUOTE_STORICO!M19="",QUOTE_STORICO!L19=""),"",IF(QUOTE_STORICO!M19=0,0,QUOTE_STORICO!M19*LN(2*QUOTE_STORICO!M19/(QUOTE_STORICO!M19+QUOTE_STORICO!L19)))/2+IF(QUOTE_STORICO!L19=0,0,QUOTE_STORICO!L19*LN(2*QUOTE_STORICO!L19/(QUOTE_STORICO!M19+QUOTE_STORICO!L19)))/2)</x:f>
      </x:c>
      <x:c r="N19" s="92" t="str">
        <x:f>IF(OR(QUOTE_STORICO!N19="",QUOTE_STORICO!M19=""),"",IF(QUOTE_STORICO!N19=0,0,QUOTE_STORICO!N19*LN(2*QUOTE_STORICO!N19/(QUOTE_STORICO!N19+QUOTE_STORICO!M19)))/2+IF(QUOTE_STORICO!M19=0,0,QUOTE_STORICO!M19*LN(2*QUOTE_STORICO!M19/(QUOTE_STORICO!N19+QUOTE_STORICO!M19)))/2)</x:f>
      </x:c>
    </x:row>
    <x:row r="20">
      <x:c r="A20" t="str">
        <x:v>Basilicata</x:v>
      </x:c>
      <x:c r="B20" s="92"/>
      <x:c r="C20" s="92" t="str">
        <x:f>IF(OR(QUOTE_STORICO!C20="",QUOTE_STORICO!B20=""),"",IF(QUOTE_STORICO!C20=0,0,QUOTE_STORICO!C20*LN(2*QUOTE_STORICO!C20/(QUOTE_STORICO!C20+QUOTE_STORICO!B20)))/2+IF(QUOTE_STORICO!B20=0,0,QUOTE_STORICO!B20*LN(2*QUOTE_STORICO!B20/(QUOTE_STORICO!C20+QUOTE_STORICO!B20)))/2)</x:f>
      </x:c>
      <x:c r="D20" s="92" t="str">
        <x:f>IF(OR(QUOTE_STORICO!D20="",QUOTE_STORICO!C20=""),"",IF(QUOTE_STORICO!D20=0,0,QUOTE_STORICO!D20*LN(2*QUOTE_STORICO!D20/(QUOTE_STORICO!D20+QUOTE_STORICO!C20)))/2+IF(QUOTE_STORICO!C20=0,0,QUOTE_STORICO!C20*LN(2*QUOTE_STORICO!C20/(QUOTE_STORICO!D20+QUOTE_STORICO!C20)))/2)</x:f>
      </x:c>
      <x:c r="E20" s="92" t="str">
        <x:f>IF(OR(QUOTE_STORICO!E20="",QUOTE_STORICO!D20=""),"",IF(QUOTE_STORICO!E20=0,0,QUOTE_STORICO!E20*LN(2*QUOTE_STORICO!E20/(QUOTE_STORICO!E20+QUOTE_STORICO!D20)))/2+IF(QUOTE_STORICO!D20=0,0,QUOTE_STORICO!D20*LN(2*QUOTE_STORICO!D20/(QUOTE_STORICO!E20+QUOTE_STORICO!D20)))/2)</x:f>
      </x:c>
      <x:c r="F20" s="92" t="str">
        <x:f>IF(OR(QUOTE_STORICO!F20="",QUOTE_STORICO!E20=""),"",IF(QUOTE_STORICO!F20=0,0,QUOTE_STORICO!F20*LN(2*QUOTE_STORICO!F20/(QUOTE_STORICO!F20+QUOTE_STORICO!E20)))/2+IF(QUOTE_STORICO!E20=0,0,QUOTE_STORICO!E20*LN(2*QUOTE_STORICO!E20/(QUOTE_STORICO!F20+QUOTE_STORICO!E20)))/2)</x:f>
      </x:c>
      <x:c r="G20" s="92" t="str">
        <x:f>IF(OR(QUOTE_STORICO!G20="",QUOTE_STORICO!F20=""),"",IF(QUOTE_STORICO!G20=0,0,QUOTE_STORICO!G20*LN(2*QUOTE_STORICO!G20/(QUOTE_STORICO!G20+QUOTE_STORICO!F20)))/2+IF(QUOTE_STORICO!F20=0,0,QUOTE_STORICO!F20*LN(2*QUOTE_STORICO!F20/(QUOTE_STORICO!G20+QUOTE_STORICO!F20)))/2)</x:f>
      </x:c>
      <x:c r="H20" s="92" t="str">
        <x:f>IF(OR(QUOTE_STORICO!H20="",QUOTE_STORICO!G20=""),"",IF(QUOTE_STORICO!H20=0,0,QUOTE_STORICO!H20*LN(2*QUOTE_STORICO!H20/(QUOTE_STORICO!H20+QUOTE_STORICO!G20)))/2+IF(QUOTE_STORICO!G20=0,0,QUOTE_STORICO!G20*LN(2*QUOTE_STORICO!G20/(QUOTE_STORICO!H20+QUOTE_STORICO!G20)))/2)</x:f>
      </x:c>
      <x:c r="I20" s="92" t="str">
        <x:f>IF(OR(QUOTE_STORICO!I20="",QUOTE_STORICO!H20=""),"",IF(QUOTE_STORICO!I20=0,0,QUOTE_STORICO!I20*LN(2*QUOTE_STORICO!I20/(QUOTE_STORICO!I20+QUOTE_STORICO!H20)))/2+IF(QUOTE_STORICO!H20=0,0,QUOTE_STORICO!H20*LN(2*QUOTE_STORICO!H20/(QUOTE_STORICO!I20+QUOTE_STORICO!H20)))/2)</x:f>
      </x:c>
      <x:c r="J20" s="92" t="str">
        <x:f>IF(OR(QUOTE_STORICO!J20="",QUOTE_STORICO!I20=""),"",IF(QUOTE_STORICO!J20=0,0,QUOTE_STORICO!J20*LN(2*QUOTE_STORICO!J20/(QUOTE_STORICO!J20+QUOTE_STORICO!I20)))/2+IF(QUOTE_STORICO!I20=0,0,QUOTE_STORICO!I20*LN(2*QUOTE_STORICO!I20/(QUOTE_STORICO!J20+QUOTE_STORICO!I20)))/2)</x:f>
      </x:c>
      <x:c r="K20" s="92" t="str">
        <x:f>IF(OR(QUOTE_STORICO!K20="",QUOTE_STORICO!J20=""),"",IF(QUOTE_STORICO!K20=0,0,QUOTE_STORICO!K20*LN(2*QUOTE_STORICO!K20/(QUOTE_STORICO!K20+QUOTE_STORICO!J20)))/2+IF(QUOTE_STORICO!J20=0,0,QUOTE_STORICO!J20*LN(2*QUOTE_STORICO!J20/(QUOTE_STORICO!K20+QUOTE_STORICO!J20)))/2)</x:f>
      </x:c>
      <x:c r="L20" s="92" t="str">
        <x:f>IF(OR(QUOTE_STORICO!L20="",QUOTE_STORICO!K20=""),"",IF(QUOTE_STORICO!L20=0,0,QUOTE_STORICO!L20*LN(2*QUOTE_STORICO!L20/(QUOTE_STORICO!L20+QUOTE_STORICO!K20)))/2+IF(QUOTE_STORICO!K20=0,0,QUOTE_STORICO!K20*LN(2*QUOTE_STORICO!K20/(QUOTE_STORICO!L20+QUOTE_STORICO!K20)))/2)</x:f>
      </x:c>
      <x:c r="M20" s="92" t="str">
        <x:f>IF(OR(QUOTE_STORICO!M20="",QUOTE_STORICO!L20=""),"",IF(QUOTE_STORICO!M20=0,0,QUOTE_STORICO!M20*LN(2*QUOTE_STORICO!M20/(QUOTE_STORICO!M20+QUOTE_STORICO!L20)))/2+IF(QUOTE_STORICO!L20=0,0,QUOTE_STORICO!L20*LN(2*QUOTE_STORICO!L20/(QUOTE_STORICO!M20+QUOTE_STORICO!L20)))/2)</x:f>
      </x:c>
      <x:c r="N20" s="92" t="str">
        <x:f>IF(OR(QUOTE_STORICO!N20="",QUOTE_STORICO!M20=""),"",IF(QUOTE_STORICO!N20=0,0,QUOTE_STORICO!N20*LN(2*QUOTE_STORICO!N20/(QUOTE_STORICO!N20+QUOTE_STORICO!M20)))/2+IF(QUOTE_STORICO!M20=0,0,QUOTE_STORICO!M20*LN(2*QUOTE_STORICO!M20/(QUOTE_STORICO!N20+QUOTE_STORICO!M20)))/2)</x:f>
      </x:c>
    </x:row>
    <x:row r="21">
      <x:c r="A21" t="str">
        <x:v>Calabria</x:v>
      </x:c>
      <x:c r="B21" s="92"/>
      <x:c r="C21" s="92" t="str">
        <x:f>IF(OR(QUOTE_STORICO!C21="",QUOTE_STORICO!B21=""),"",IF(QUOTE_STORICO!C21=0,0,QUOTE_STORICO!C21*LN(2*QUOTE_STORICO!C21/(QUOTE_STORICO!C21+QUOTE_STORICO!B21)))/2+IF(QUOTE_STORICO!B21=0,0,QUOTE_STORICO!B21*LN(2*QUOTE_STORICO!B21/(QUOTE_STORICO!C21+QUOTE_STORICO!B21)))/2)</x:f>
      </x:c>
      <x:c r="D21" s="92" t="str">
        <x:f>IF(OR(QUOTE_STORICO!D21="",QUOTE_STORICO!C21=""),"",IF(QUOTE_STORICO!D21=0,0,QUOTE_STORICO!D21*LN(2*QUOTE_STORICO!D21/(QUOTE_STORICO!D21+QUOTE_STORICO!C21)))/2+IF(QUOTE_STORICO!C21=0,0,QUOTE_STORICO!C21*LN(2*QUOTE_STORICO!C21/(QUOTE_STORICO!D21+QUOTE_STORICO!C21)))/2)</x:f>
      </x:c>
      <x:c r="E21" s="92" t="str">
        <x:f>IF(OR(QUOTE_STORICO!E21="",QUOTE_STORICO!D21=""),"",IF(QUOTE_STORICO!E21=0,0,QUOTE_STORICO!E21*LN(2*QUOTE_STORICO!E21/(QUOTE_STORICO!E21+QUOTE_STORICO!D21)))/2+IF(QUOTE_STORICO!D21=0,0,QUOTE_STORICO!D21*LN(2*QUOTE_STORICO!D21/(QUOTE_STORICO!E21+QUOTE_STORICO!D21)))/2)</x:f>
      </x:c>
      <x:c r="F21" s="92" t="str">
        <x:f>IF(OR(QUOTE_STORICO!F21="",QUOTE_STORICO!E21=""),"",IF(QUOTE_STORICO!F21=0,0,QUOTE_STORICO!F21*LN(2*QUOTE_STORICO!F21/(QUOTE_STORICO!F21+QUOTE_STORICO!E21)))/2+IF(QUOTE_STORICO!E21=0,0,QUOTE_STORICO!E21*LN(2*QUOTE_STORICO!E21/(QUOTE_STORICO!F21+QUOTE_STORICO!E21)))/2)</x:f>
      </x:c>
      <x:c r="G21" s="92" t="str">
        <x:f>IF(OR(QUOTE_STORICO!G21="",QUOTE_STORICO!F21=""),"",IF(QUOTE_STORICO!G21=0,0,QUOTE_STORICO!G21*LN(2*QUOTE_STORICO!G21/(QUOTE_STORICO!G21+QUOTE_STORICO!F21)))/2+IF(QUOTE_STORICO!F21=0,0,QUOTE_STORICO!F21*LN(2*QUOTE_STORICO!F21/(QUOTE_STORICO!G21+QUOTE_STORICO!F21)))/2)</x:f>
      </x:c>
      <x:c r="H21" s="92" t="str">
        <x:f>IF(OR(QUOTE_STORICO!H21="",QUOTE_STORICO!G21=""),"",IF(QUOTE_STORICO!H21=0,0,QUOTE_STORICO!H21*LN(2*QUOTE_STORICO!H21/(QUOTE_STORICO!H21+QUOTE_STORICO!G21)))/2+IF(QUOTE_STORICO!G21=0,0,QUOTE_STORICO!G21*LN(2*QUOTE_STORICO!G21/(QUOTE_STORICO!H21+QUOTE_STORICO!G21)))/2)</x:f>
      </x:c>
      <x:c r="I21" s="92" t="str">
        <x:f>IF(OR(QUOTE_STORICO!I21="",QUOTE_STORICO!H21=""),"",IF(QUOTE_STORICO!I21=0,0,QUOTE_STORICO!I21*LN(2*QUOTE_STORICO!I21/(QUOTE_STORICO!I21+QUOTE_STORICO!H21)))/2+IF(QUOTE_STORICO!H21=0,0,QUOTE_STORICO!H21*LN(2*QUOTE_STORICO!H21/(QUOTE_STORICO!I21+QUOTE_STORICO!H21)))/2)</x:f>
      </x:c>
      <x:c r="J21" s="92" t="str">
        <x:f>IF(OR(QUOTE_STORICO!J21="",QUOTE_STORICO!I21=""),"",IF(QUOTE_STORICO!J21=0,0,QUOTE_STORICO!J21*LN(2*QUOTE_STORICO!J21/(QUOTE_STORICO!J21+QUOTE_STORICO!I21)))/2+IF(QUOTE_STORICO!I21=0,0,QUOTE_STORICO!I21*LN(2*QUOTE_STORICO!I21/(QUOTE_STORICO!J21+QUOTE_STORICO!I21)))/2)</x:f>
      </x:c>
      <x:c r="K21" s="92" t="str">
        <x:f>IF(OR(QUOTE_STORICO!K21="",QUOTE_STORICO!J21=""),"",IF(QUOTE_STORICO!K21=0,0,QUOTE_STORICO!K21*LN(2*QUOTE_STORICO!K21/(QUOTE_STORICO!K21+QUOTE_STORICO!J21)))/2+IF(QUOTE_STORICO!J21=0,0,QUOTE_STORICO!J21*LN(2*QUOTE_STORICO!J21/(QUOTE_STORICO!K21+QUOTE_STORICO!J21)))/2)</x:f>
      </x:c>
      <x:c r="L21" s="92" t="str">
        <x:f>IF(OR(QUOTE_STORICO!L21="",QUOTE_STORICO!K21=""),"",IF(QUOTE_STORICO!L21=0,0,QUOTE_STORICO!L21*LN(2*QUOTE_STORICO!L21/(QUOTE_STORICO!L21+QUOTE_STORICO!K21)))/2+IF(QUOTE_STORICO!K21=0,0,QUOTE_STORICO!K21*LN(2*QUOTE_STORICO!K21/(QUOTE_STORICO!L21+QUOTE_STORICO!K21)))/2)</x:f>
      </x:c>
      <x:c r="M21" s="92" t="str">
        <x:f>IF(OR(QUOTE_STORICO!M21="",QUOTE_STORICO!L21=""),"",IF(QUOTE_STORICO!M21=0,0,QUOTE_STORICO!M21*LN(2*QUOTE_STORICO!M21/(QUOTE_STORICO!M21+QUOTE_STORICO!L21)))/2+IF(QUOTE_STORICO!L21=0,0,QUOTE_STORICO!L21*LN(2*QUOTE_STORICO!L21/(QUOTE_STORICO!M21+QUOTE_STORICO!L21)))/2)</x:f>
      </x:c>
      <x:c r="N21" s="92" t="str">
        <x:f>IF(OR(QUOTE_STORICO!N21="",QUOTE_STORICO!M21=""),"",IF(QUOTE_STORICO!N21=0,0,QUOTE_STORICO!N21*LN(2*QUOTE_STORICO!N21/(QUOTE_STORICO!N21+QUOTE_STORICO!M21)))/2+IF(QUOTE_STORICO!M21=0,0,QUOTE_STORICO!M21*LN(2*QUOTE_STORICO!M21/(QUOTE_STORICO!N21+QUOTE_STORICO!M21)))/2)</x:f>
      </x:c>
    </x:row>
    <x:row r="22">
      <x:c r="A22" t="str">
        <x:v>Sicilia</x:v>
      </x:c>
      <x:c r="B22" s="92"/>
      <x:c r="C22" s="92" t="str">
        <x:f>IF(OR(QUOTE_STORICO!C22="",QUOTE_STORICO!B22=""),"",IF(QUOTE_STORICO!C22=0,0,QUOTE_STORICO!C22*LN(2*QUOTE_STORICO!C22/(QUOTE_STORICO!C22+QUOTE_STORICO!B22)))/2+IF(QUOTE_STORICO!B22=0,0,QUOTE_STORICO!B22*LN(2*QUOTE_STORICO!B22/(QUOTE_STORICO!C22+QUOTE_STORICO!B22)))/2)</x:f>
      </x:c>
      <x:c r="D22" s="92" t="str">
        <x:f>IF(OR(QUOTE_STORICO!D22="",QUOTE_STORICO!C22=""),"",IF(QUOTE_STORICO!D22=0,0,QUOTE_STORICO!D22*LN(2*QUOTE_STORICO!D22/(QUOTE_STORICO!D22+QUOTE_STORICO!C22)))/2+IF(QUOTE_STORICO!C22=0,0,QUOTE_STORICO!C22*LN(2*QUOTE_STORICO!C22/(QUOTE_STORICO!D22+QUOTE_STORICO!C22)))/2)</x:f>
      </x:c>
      <x:c r="E22" s="92" t="str">
        <x:f>IF(OR(QUOTE_STORICO!E22="",QUOTE_STORICO!D22=""),"",IF(QUOTE_STORICO!E22=0,0,QUOTE_STORICO!E22*LN(2*QUOTE_STORICO!E22/(QUOTE_STORICO!E22+QUOTE_STORICO!D22)))/2+IF(QUOTE_STORICO!D22=0,0,QUOTE_STORICO!D22*LN(2*QUOTE_STORICO!D22/(QUOTE_STORICO!E22+QUOTE_STORICO!D22)))/2)</x:f>
      </x:c>
      <x:c r="F22" s="92" t="str">
        <x:f>IF(OR(QUOTE_STORICO!F22="",QUOTE_STORICO!E22=""),"",IF(QUOTE_STORICO!F22=0,0,QUOTE_STORICO!F22*LN(2*QUOTE_STORICO!F22/(QUOTE_STORICO!F22+QUOTE_STORICO!E22)))/2+IF(QUOTE_STORICO!E22=0,0,QUOTE_STORICO!E22*LN(2*QUOTE_STORICO!E22/(QUOTE_STORICO!F22+QUOTE_STORICO!E22)))/2)</x:f>
      </x:c>
      <x:c r="G22" s="92" t="str">
        <x:f>IF(OR(QUOTE_STORICO!G22="",QUOTE_STORICO!F22=""),"",IF(QUOTE_STORICO!G22=0,0,QUOTE_STORICO!G22*LN(2*QUOTE_STORICO!G22/(QUOTE_STORICO!G22+QUOTE_STORICO!F22)))/2+IF(QUOTE_STORICO!F22=0,0,QUOTE_STORICO!F22*LN(2*QUOTE_STORICO!F22/(QUOTE_STORICO!G22+QUOTE_STORICO!F22)))/2)</x:f>
      </x:c>
      <x:c r="H22" s="92" t="str">
        <x:f>IF(OR(QUOTE_STORICO!H22="",QUOTE_STORICO!G22=""),"",IF(QUOTE_STORICO!H22=0,0,QUOTE_STORICO!H22*LN(2*QUOTE_STORICO!H22/(QUOTE_STORICO!H22+QUOTE_STORICO!G22)))/2+IF(QUOTE_STORICO!G22=0,0,QUOTE_STORICO!G22*LN(2*QUOTE_STORICO!G22/(QUOTE_STORICO!H22+QUOTE_STORICO!G22)))/2)</x:f>
      </x:c>
      <x:c r="I22" s="92" t="str">
        <x:f>IF(OR(QUOTE_STORICO!I22="",QUOTE_STORICO!H22=""),"",IF(QUOTE_STORICO!I22=0,0,QUOTE_STORICO!I22*LN(2*QUOTE_STORICO!I22/(QUOTE_STORICO!I22+QUOTE_STORICO!H22)))/2+IF(QUOTE_STORICO!H22=0,0,QUOTE_STORICO!H22*LN(2*QUOTE_STORICO!H22/(QUOTE_STORICO!I22+QUOTE_STORICO!H22)))/2)</x:f>
      </x:c>
      <x:c r="J22" s="92" t="str">
        <x:f>IF(OR(QUOTE_STORICO!J22="",QUOTE_STORICO!I22=""),"",IF(QUOTE_STORICO!J22=0,0,QUOTE_STORICO!J22*LN(2*QUOTE_STORICO!J22/(QUOTE_STORICO!J22+QUOTE_STORICO!I22)))/2+IF(QUOTE_STORICO!I22=0,0,QUOTE_STORICO!I22*LN(2*QUOTE_STORICO!I22/(QUOTE_STORICO!J22+QUOTE_STORICO!I22)))/2)</x:f>
      </x:c>
      <x:c r="K22" s="92" t="str">
        <x:f>IF(OR(QUOTE_STORICO!K22="",QUOTE_STORICO!J22=""),"",IF(QUOTE_STORICO!K22=0,0,QUOTE_STORICO!K22*LN(2*QUOTE_STORICO!K22/(QUOTE_STORICO!K22+QUOTE_STORICO!J22)))/2+IF(QUOTE_STORICO!J22=0,0,QUOTE_STORICO!J22*LN(2*QUOTE_STORICO!J22/(QUOTE_STORICO!K22+QUOTE_STORICO!J22)))/2)</x:f>
      </x:c>
      <x:c r="L22" s="92" t="str">
        <x:f>IF(OR(QUOTE_STORICO!L22="",QUOTE_STORICO!K22=""),"",IF(QUOTE_STORICO!L22=0,0,QUOTE_STORICO!L22*LN(2*QUOTE_STORICO!L22/(QUOTE_STORICO!L22+QUOTE_STORICO!K22)))/2+IF(QUOTE_STORICO!K22=0,0,QUOTE_STORICO!K22*LN(2*QUOTE_STORICO!K22/(QUOTE_STORICO!L22+QUOTE_STORICO!K22)))/2)</x:f>
      </x:c>
      <x:c r="M22" s="92" t="str">
        <x:f>IF(OR(QUOTE_STORICO!M22="",QUOTE_STORICO!L22=""),"",IF(QUOTE_STORICO!M22=0,0,QUOTE_STORICO!M22*LN(2*QUOTE_STORICO!M22/(QUOTE_STORICO!M22+QUOTE_STORICO!L22)))/2+IF(QUOTE_STORICO!L22=0,0,QUOTE_STORICO!L22*LN(2*QUOTE_STORICO!L22/(QUOTE_STORICO!M22+QUOTE_STORICO!L22)))/2)</x:f>
      </x:c>
      <x:c r="N22" s="92" t="str">
        <x:f>IF(OR(QUOTE_STORICO!N22="",QUOTE_STORICO!M22=""),"",IF(QUOTE_STORICO!N22=0,0,QUOTE_STORICO!N22*LN(2*QUOTE_STORICO!N22/(QUOTE_STORICO!N22+QUOTE_STORICO!M22)))/2+IF(QUOTE_STORICO!M22=0,0,QUOTE_STORICO!M22*LN(2*QUOTE_STORICO!M22/(QUOTE_STORICO!N22+QUOTE_STORICO!M22)))/2)</x:f>
      </x:c>
    </x:row>
    <x:row r="23">
      <x:c r="A23" t="str">
        <x:v>Sardegna</x:v>
      </x:c>
      <x:c r="B23" s="92"/>
      <x:c r="C23" s="92" t="str">
        <x:f>IF(OR(QUOTE_STORICO!C23="",QUOTE_STORICO!B23=""),"",IF(QUOTE_STORICO!C23=0,0,QUOTE_STORICO!C23*LN(2*QUOTE_STORICO!C23/(QUOTE_STORICO!C23+QUOTE_STORICO!B23)))/2+IF(QUOTE_STORICO!B23=0,0,QUOTE_STORICO!B23*LN(2*QUOTE_STORICO!B23/(QUOTE_STORICO!C23+QUOTE_STORICO!B23)))/2)</x:f>
      </x:c>
      <x:c r="D23" s="92" t="str">
        <x:f>IF(OR(QUOTE_STORICO!D23="",QUOTE_STORICO!C23=""),"",IF(QUOTE_STORICO!D23=0,0,QUOTE_STORICO!D23*LN(2*QUOTE_STORICO!D23/(QUOTE_STORICO!D23+QUOTE_STORICO!C23)))/2+IF(QUOTE_STORICO!C23=0,0,QUOTE_STORICO!C23*LN(2*QUOTE_STORICO!C23/(QUOTE_STORICO!D23+QUOTE_STORICO!C23)))/2)</x:f>
      </x:c>
      <x:c r="E23" s="92" t="str">
        <x:f>IF(OR(QUOTE_STORICO!E23="",QUOTE_STORICO!D23=""),"",IF(QUOTE_STORICO!E23=0,0,QUOTE_STORICO!E23*LN(2*QUOTE_STORICO!E23/(QUOTE_STORICO!E23+QUOTE_STORICO!D23)))/2+IF(QUOTE_STORICO!D23=0,0,QUOTE_STORICO!D23*LN(2*QUOTE_STORICO!D23/(QUOTE_STORICO!E23+QUOTE_STORICO!D23)))/2)</x:f>
      </x:c>
      <x:c r="F23" s="92" t="str">
        <x:f>IF(OR(QUOTE_STORICO!F23="",QUOTE_STORICO!E23=""),"",IF(QUOTE_STORICO!F23=0,0,QUOTE_STORICO!F23*LN(2*QUOTE_STORICO!F23/(QUOTE_STORICO!F23+QUOTE_STORICO!E23)))/2+IF(QUOTE_STORICO!E23=0,0,QUOTE_STORICO!E23*LN(2*QUOTE_STORICO!E23/(QUOTE_STORICO!F23+QUOTE_STORICO!E23)))/2)</x:f>
      </x:c>
      <x:c r="G23" s="92" t="str">
        <x:f>IF(OR(QUOTE_STORICO!G23="",QUOTE_STORICO!F23=""),"",IF(QUOTE_STORICO!G23=0,0,QUOTE_STORICO!G23*LN(2*QUOTE_STORICO!G23/(QUOTE_STORICO!G23+QUOTE_STORICO!F23)))/2+IF(QUOTE_STORICO!F23=0,0,QUOTE_STORICO!F23*LN(2*QUOTE_STORICO!F23/(QUOTE_STORICO!G23+QUOTE_STORICO!F23)))/2)</x:f>
      </x:c>
      <x:c r="H23" s="92" t="str">
        <x:f>IF(OR(QUOTE_STORICO!H23="",QUOTE_STORICO!G23=""),"",IF(QUOTE_STORICO!H23=0,0,QUOTE_STORICO!H23*LN(2*QUOTE_STORICO!H23/(QUOTE_STORICO!H23+QUOTE_STORICO!G23)))/2+IF(QUOTE_STORICO!G23=0,0,QUOTE_STORICO!G23*LN(2*QUOTE_STORICO!G23/(QUOTE_STORICO!H23+QUOTE_STORICO!G23)))/2)</x:f>
      </x:c>
      <x:c r="I23" s="92" t="str">
        <x:f>IF(OR(QUOTE_STORICO!I23="",QUOTE_STORICO!H23=""),"",IF(QUOTE_STORICO!I23=0,0,QUOTE_STORICO!I23*LN(2*QUOTE_STORICO!I23/(QUOTE_STORICO!I23+QUOTE_STORICO!H23)))/2+IF(QUOTE_STORICO!H23=0,0,QUOTE_STORICO!H23*LN(2*QUOTE_STORICO!H23/(QUOTE_STORICO!I23+QUOTE_STORICO!H23)))/2)</x:f>
      </x:c>
      <x:c r="J23" s="92" t="str">
        <x:f>IF(OR(QUOTE_STORICO!J23="",QUOTE_STORICO!I23=""),"",IF(QUOTE_STORICO!J23=0,0,QUOTE_STORICO!J23*LN(2*QUOTE_STORICO!J23/(QUOTE_STORICO!J23+QUOTE_STORICO!I23)))/2+IF(QUOTE_STORICO!I23=0,0,QUOTE_STORICO!I23*LN(2*QUOTE_STORICO!I23/(QUOTE_STORICO!J23+QUOTE_STORICO!I23)))/2)</x:f>
      </x:c>
      <x:c r="K23" s="92" t="str">
        <x:f>IF(OR(QUOTE_STORICO!K23="",QUOTE_STORICO!J23=""),"",IF(QUOTE_STORICO!K23=0,0,QUOTE_STORICO!K23*LN(2*QUOTE_STORICO!K23/(QUOTE_STORICO!K23+QUOTE_STORICO!J23)))/2+IF(QUOTE_STORICO!J23=0,0,QUOTE_STORICO!J23*LN(2*QUOTE_STORICO!J23/(QUOTE_STORICO!K23+QUOTE_STORICO!J23)))/2)</x:f>
      </x:c>
      <x:c r="L23" s="92" t="str">
        <x:f>IF(OR(QUOTE_STORICO!L23="",QUOTE_STORICO!K23=""),"",IF(QUOTE_STORICO!L23=0,0,QUOTE_STORICO!L23*LN(2*QUOTE_STORICO!L23/(QUOTE_STORICO!L23+QUOTE_STORICO!K23)))/2+IF(QUOTE_STORICO!K23=0,0,QUOTE_STORICO!K23*LN(2*QUOTE_STORICO!K23/(QUOTE_STORICO!L23+QUOTE_STORICO!K23)))/2)</x:f>
      </x:c>
      <x:c r="M23" s="92" t="str">
        <x:f>IF(OR(QUOTE_STORICO!M23="",QUOTE_STORICO!L23=""),"",IF(QUOTE_STORICO!M23=0,0,QUOTE_STORICO!M23*LN(2*QUOTE_STORICO!M23/(QUOTE_STORICO!M23+QUOTE_STORICO!L23)))/2+IF(QUOTE_STORICO!L23=0,0,QUOTE_STORICO!L23*LN(2*QUOTE_STORICO!L23/(QUOTE_STORICO!M23+QUOTE_STORICO!L23)))/2)</x:f>
      </x:c>
      <x:c r="N23" s="92" t="str">
        <x:f>IF(OR(QUOTE_STORICO!N23="",QUOTE_STORICO!M23=""),"",IF(QUOTE_STORICO!N23=0,0,QUOTE_STORICO!N23*LN(2*QUOTE_STORICO!N23/(QUOTE_STORICO!N23+QUOTE_STORICO!M23)))/2+IF(QUOTE_STORICO!M23=0,0,QUOTE_STORICO!M23*LN(2*QUOTE_STORICO!M23/(QUOTE_STORICO!N23+QUOTE_STORICO!M23)))/2)</x:f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9" customHeight="1">
      <x:c r="A1" s="85" t="str">
        <x:v>QUOTE SCENARIO MENSILI - altri indicatori f/v/m congelati al 18-10-2026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</x:row>
    <x:row r="3">
      <x:c r="A3" s="89" t="str">
        <x:v>Regione</x:v>
      </x:c>
      <x:c r="B3" s="89" t="str">
        <x:v>10/2026</x:v>
      </x:c>
      <x:c r="C3" s="89" t="str">
        <x:v>11/2026</x:v>
      </x:c>
      <x:c r="D3" s="89" t="str">
        <x:v>12/2026</x:v>
      </x:c>
      <x:c r="E3" s="89" t="str">
        <x:v>01/2027</x:v>
      </x:c>
      <x:c r="F3" s="89" t="str">
        <x:v>02/2027</x:v>
      </x:c>
      <x:c r="G3" s="89" t="str">
        <x:v>03/2027</x:v>
      </x:c>
      <x:c r="H3" s="89" t="str">
        <x:v>04/2027</x:v>
      </x:c>
      <x:c r="I3" s="89" t="str">
        <x:v>05/2027</x:v>
      </x:c>
      <x:c r="J3" s="89" t="str">
        <x:v>06/2027</x:v>
      </x:c>
      <x:c r="K3" s="89" t="str">
        <x:v>07/2027</x:v>
      </x:c>
      <x:c r="L3" s="89" t="str">
        <x:v>08/2027</x:v>
      </x:c>
      <x:c r="M3" s="89" t="str">
        <x:v>09/2027</x:v>
      </x:c>
      <x:c r="N3" s="89" t="str">
        <x:v>10/2027</x:v>
      </x:c>
    </x:row>
    <x:row r="4">
      <x:c r="A4" t="str">
        <x:v>Piemonte</x:v>
      </x:c>
      <x:c r="B4" s="92" t="n">
        <x:f>IF(QUOTE_STORICO!B4="","",BASELINE_FISSA!$E4*BASELINE_FISSA!$B4+BASELINE_FISSA!$F4*BASELINE_FISSA!$C4+BASELINE_FISSA!$H4*QUOTE_STORICO!B4+BASELINE_FISSA!$G4*BASELINE_FISSA!$D4)</x:f>
        <x:v>0.08532759782752344</x:v>
      </x:c>
      <x:c r="C4" s="92" t="str">
        <x:f>IF(QUOTE_STORICO!C4="","",BASELINE_FISSA!$E4*BASELINE_FISSA!$B4+BASELINE_FISSA!$F4*BASELINE_FISSA!$C4+BASELINE_FISSA!$H4*QUOTE_STORICO!C4+BASELINE_FISSA!$G4*BASELINE_FISSA!$D4)</x:f>
      </x:c>
      <x:c r="D4" s="92" t="str">
        <x:f>IF(QUOTE_STORICO!D4="","",BASELINE_FISSA!$E4*BASELINE_FISSA!$B4+BASELINE_FISSA!$F4*BASELINE_FISSA!$C4+BASELINE_FISSA!$H4*QUOTE_STORICO!D4+BASELINE_FISSA!$G4*BASELINE_FISSA!$D4)</x:f>
      </x:c>
      <x:c r="E4" s="92" t="str">
        <x:f>IF(QUOTE_STORICO!E4="","",BASELINE_FISSA!$E4*BASELINE_FISSA!$B4+BASELINE_FISSA!$F4*BASELINE_FISSA!$C4+BASELINE_FISSA!$H4*QUOTE_STORICO!E4+BASELINE_FISSA!$G4*BASELINE_FISSA!$D4)</x:f>
      </x:c>
      <x:c r="F4" s="92" t="str">
        <x:f>IF(QUOTE_STORICO!F4="","",BASELINE_FISSA!$E4*BASELINE_FISSA!$B4+BASELINE_FISSA!$F4*BASELINE_FISSA!$C4+BASELINE_FISSA!$H4*QUOTE_STORICO!F4+BASELINE_FISSA!$G4*BASELINE_FISSA!$D4)</x:f>
      </x:c>
      <x:c r="G4" s="92" t="str">
        <x:f>IF(QUOTE_STORICO!G4="","",BASELINE_FISSA!$E4*BASELINE_FISSA!$B4+BASELINE_FISSA!$F4*BASELINE_FISSA!$C4+BASELINE_FISSA!$H4*QUOTE_STORICO!G4+BASELINE_FISSA!$G4*BASELINE_FISSA!$D4)</x:f>
      </x:c>
      <x:c r="H4" s="92" t="str">
        <x:f>IF(QUOTE_STORICO!H4="","",BASELINE_FISSA!$E4*BASELINE_FISSA!$B4+BASELINE_FISSA!$F4*BASELINE_FISSA!$C4+BASELINE_FISSA!$H4*QUOTE_STORICO!H4+BASELINE_FISSA!$G4*BASELINE_FISSA!$D4)</x:f>
      </x:c>
      <x:c r="I4" s="92" t="str">
        <x:f>IF(QUOTE_STORICO!I4="","",BASELINE_FISSA!$E4*BASELINE_FISSA!$B4+BASELINE_FISSA!$F4*BASELINE_FISSA!$C4+BASELINE_FISSA!$H4*QUOTE_STORICO!I4+BASELINE_FISSA!$G4*BASELINE_FISSA!$D4)</x:f>
      </x:c>
      <x:c r="J4" s="92" t="str">
        <x:f>IF(QUOTE_STORICO!J4="","",BASELINE_FISSA!$E4*BASELINE_FISSA!$B4+BASELINE_FISSA!$F4*BASELINE_FISSA!$C4+BASELINE_FISSA!$H4*QUOTE_STORICO!J4+BASELINE_FISSA!$G4*BASELINE_FISSA!$D4)</x:f>
      </x:c>
      <x:c r="K4" s="92" t="str">
        <x:f>IF(QUOTE_STORICO!K4="","",BASELINE_FISSA!$E4*BASELINE_FISSA!$B4+BASELINE_FISSA!$F4*BASELINE_FISSA!$C4+BASELINE_FISSA!$H4*QUOTE_STORICO!K4+BASELINE_FISSA!$G4*BASELINE_FISSA!$D4)</x:f>
      </x:c>
      <x:c r="L4" s="92" t="str">
        <x:f>IF(QUOTE_STORICO!L4="","",BASELINE_FISSA!$E4*BASELINE_FISSA!$B4+BASELINE_FISSA!$F4*BASELINE_FISSA!$C4+BASELINE_FISSA!$H4*QUOTE_STORICO!L4+BASELINE_FISSA!$G4*BASELINE_FISSA!$D4)</x:f>
      </x:c>
      <x:c r="M4" s="92" t="str">
        <x:f>IF(QUOTE_STORICO!M4="","",BASELINE_FISSA!$E4*BASELINE_FISSA!$B4+BASELINE_FISSA!$F4*BASELINE_FISSA!$C4+BASELINE_FISSA!$H4*QUOTE_STORICO!M4+BASELINE_FISSA!$G4*BASELINE_FISSA!$D4)</x:f>
      </x:c>
      <x:c r="N4" s="92" t="str">
        <x:f>IF(QUOTE_STORICO!N4="","",BASELINE_FISSA!$E4*BASELINE_FISSA!$B4+BASELINE_FISSA!$F4*BASELINE_FISSA!$C4+BASELINE_FISSA!$H4*QUOTE_STORICO!N4+BASELINE_FISSA!$G4*BASELINE_FISSA!$D4)</x:f>
      </x:c>
    </x:row>
    <x:row r="5">
      <x:c r="A5" t="str">
        <x:v>Valle d'Aosta</x:v>
      </x:c>
      <x:c r="B5" s="92" t="n">
        <x:f>IF(QUOTE_STORICO!B5="","",BASELINE_FISSA!$E5*BASELINE_FISSA!$B5+BASELINE_FISSA!$F5*BASELINE_FISSA!$C5+BASELINE_FISSA!$H5*QUOTE_STORICO!B5+BASELINE_FISSA!$G5*BASELINE_FISSA!$D5)</x:f>
        <x:v>0.0014726139136798273</x:v>
      </x:c>
      <x:c r="C5" s="92" t="str">
        <x:f>IF(QUOTE_STORICO!C5="","",BASELINE_FISSA!$E5*BASELINE_FISSA!$B5+BASELINE_FISSA!$F5*BASELINE_FISSA!$C5+BASELINE_FISSA!$H5*QUOTE_STORICO!C5+BASELINE_FISSA!$G5*BASELINE_FISSA!$D5)</x:f>
      </x:c>
      <x:c r="D5" s="92" t="str">
        <x:f>IF(QUOTE_STORICO!D5="","",BASELINE_FISSA!$E5*BASELINE_FISSA!$B5+BASELINE_FISSA!$F5*BASELINE_FISSA!$C5+BASELINE_FISSA!$H5*QUOTE_STORICO!D5+BASELINE_FISSA!$G5*BASELINE_FISSA!$D5)</x:f>
      </x:c>
      <x:c r="E5" s="92" t="str">
        <x:f>IF(QUOTE_STORICO!E5="","",BASELINE_FISSA!$E5*BASELINE_FISSA!$B5+BASELINE_FISSA!$F5*BASELINE_FISSA!$C5+BASELINE_FISSA!$H5*QUOTE_STORICO!E5+BASELINE_FISSA!$G5*BASELINE_FISSA!$D5)</x:f>
      </x:c>
      <x:c r="F5" s="92" t="str">
        <x:f>IF(QUOTE_STORICO!F5="","",BASELINE_FISSA!$E5*BASELINE_FISSA!$B5+BASELINE_FISSA!$F5*BASELINE_FISSA!$C5+BASELINE_FISSA!$H5*QUOTE_STORICO!F5+BASELINE_FISSA!$G5*BASELINE_FISSA!$D5)</x:f>
      </x:c>
      <x:c r="G5" s="92" t="str">
        <x:f>IF(QUOTE_STORICO!G5="","",BASELINE_FISSA!$E5*BASELINE_FISSA!$B5+BASELINE_FISSA!$F5*BASELINE_FISSA!$C5+BASELINE_FISSA!$H5*QUOTE_STORICO!G5+BASELINE_FISSA!$G5*BASELINE_FISSA!$D5)</x:f>
      </x:c>
      <x:c r="H5" s="92" t="str">
        <x:f>IF(QUOTE_STORICO!H5="","",BASELINE_FISSA!$E5*BASELINE_FISSA!$B5+BASELINE_FISSA!$F5*BASELINE_FISSA!$C5+BASELINE_FISSA!$H5*QUOTE_STORICO!H5+BASELINE_FISSA!$G5*BASELINE_FISSA!$D5)</x:f>
      </x:c>
      <x:c r="I5" s="92" t="str">
        <x:f>IF(QUOTE_STORICO!I5="","",BASELINE_FISSA!$E5*BASELINE_FISSA!$B5+BASELINE_FISSA!$F5*BASELINE_FISSA!$C5+BASELINE_FISSA!$H5*QUOTE_STORICO!I5+BASELINE_FISSA!$G5*BASELINE_FISSA!$D5)</x:f>
      </x:c>
      <x:c r="J5" s="92" t="str">
        <x:f>IF(QUOTE_STORICO!J5="","",BASELINE_FISSA!$E5*BASELINE_FISSA!$B5+BASELINE_FISSA!$F5*BASELINE_FISSA!$C5+BASELINE_FISSA!$H5*QUOTE_STORICO!J5+BASELINE_FISSA!$G5*BASELINE_FISSA!$D5)</x:f>
      </x:c>
      <x:c r="K5" s="92" t="str">
        <x:f>IF(QUOTE_STORICO!K5="","",BASELINE_FISSA!$E5*BASELINE_FISSA!$B5+BASELINE_FISSA!$F5*BASELINE_FISSA!$C5+BASELINE_FISSA!$H5*QUOTE_STORICO!K5+BASELINE_FISSA!$G5*BASELINE_FISSA!$D5)</x:f>
      </x:c>
      <x:c r="L5" s="92" t="str">
        <x:f>IF(QUOTE_STORICO!L5="","",BASELINE_FISSA!$E5*BASELINE_FISSA!$B5+BASELINE_FISSA!$F5*BASELINE_FISSA!$C5+BASELINE_FISSA!$H5*QUOTE_STORICO!L5+BASELINE_FISSA!$G5*BASELINE_FISSA!$D5)</x:f>
      </x:c>
      <x:c r="M5" s="92" t="str">
        <x:f>IF(QUOTE_STORICO!M5="","",BASELINE_FISSA!$E5*BASELINE_FISSA!$B5+BASELINE_FISSA!$F5*BASELINE_FISSA!$C5+BASELINE_FISSA!$H5*QUOTE_STORICO!M5+BASELINE_FISSA!$G5*BASELINE_FISSA!$D5)</x:f>
      </x:c>
      <x:c r="N5" s="92" t="str">
        <x:f>IF(QUOTE_STORICO!N5="","",BASELINE_FISSA!$E5*BASELINE_FISSA!$B5+BASELINE_FISSA!$F5*BASELINE_FISSA!$C5+BASELINE_FISSA!$H5*QUOTE_STORICO!N5+BASELINE_FISSA!$G5*BASELINE_FISSA!$D5)</x:f>
      </x:c>
    </x:row>
    <x:row r="6">
      <x:c r="A6" t="str">
        <x:v>Liguria</x:v>
      </x:c>
      <x:c r="B6" s="92" t="n">
        <x:f>IF(QUOTE_STORICO!B6="","",BASELINE_FISSA!$E6*BASELINE_FISSA!$B6+BASELINE_FISSA!$F6*BASELINE_FISSA!$C6+BASELINE_FISSA!$H6*QUOTE_STORICO!B6+BASELINE_FISSA!$G6*BASELINE_FISSA!$D6)</x:f>
        <x:v>0.02959093813762569</x:v>
      </x:c>
      <x:c r="C6" s="92" t="str">
        <x:f>IF(QUOTE_STORICO!C6="","",BASELINE_FISSA!$E6*BASELINE_FISSA!$B6+BASELINE_FISSA!$F6*BASELINE_FISSA!$C6+BASELINE_FISSA!$H6*QUOTE_STORICO!C6+BASELINE_FISSA!$G6*BASELINE_FISSA!$D6)</x:f>
      </x:c>
      <x:c r="D6" s="92" t="str">
        <x:f>IF(QUOTE_STORICO!D6="","",BASELINE_FISSA!$E6*BASELINE_FISSA!$B6+BASELINE_FISSA!$F6*BASELINE_FISSA!$C6+BASELINE_FISSA!$H6*QUOTE_STORICO!D6+BASELINE_FISSA!$G6*BASELINE_FISSA!$D6)</x:f>
      </x:c>
      <x:c r="E6" s="92" t="str">
        <x:f>IF(QUOTE_STORICO!E6="","",BASELINE_FISSA!$E6*BASELINE_FISSA!$B6+BASELINE_FISSA!$F6*BASELINE_FISSA!$C6+BASELINE_FISSA!$H6*QUOTE_STORICO!E6+BASELINE_FISSA!$G6*BASELINE_FISSA!$D6)</x:f>
      </x:c>
      <x:c r="F6" s="92" t="str">
        <x:f>IF(QUOTE_STORICO!F6="","",BASELINE_FISSA!$E6*BASELINE_FISSA!$B6+BASELINE_FISSA!$F6*BASELINE_FISSA!$C6+BASELINE_FISSA!$H6*QUOTE_STORICO!F6+BASELINE_FISSA!$G6*BASELINE_FISSA!$D6)</x:f>
      </x:c>
      <x:c r="G6" s="92" t="str">
        <x:f>IF(QUOTE_STORICO!G6="","",BASELINE_FISSA!$E6*BASELINE_FISSA!$B6+BASELINE_FISSA!$F6*BASELINE_FISSA!$C6+BASELINE_FISSA!$H6*QUOTE_STORICO!G6+BASELINE_FISSA!$G6*BASELINE_FISSA!$D6)</x:f>
      </x:c>
      <x:c r="H6" s="92" t="str">
        <x:f>IF(QUOTE_STORICO!H6="","",BASELINE_FISSA!$E6*BASELINE_FISSA!$B6+BASELINE_FISSA!$F6*BASELINE_FISSA!$C6+BASELINE_FISSA!$H6*QUOTE_STORICO!H6+BASELINE_FISSA!$G6*BASELINE_FISSA!$D6)</x:f>
      </x:c>
      <x:c r="I6" s="92" t="str">
        <x:f>IF(QUOTE_STORICO!I6="","",BASELINE_FISSA!$E6*BASELINE_FISSA!$B6+BASELINE_FISSA!$F6*BASELINE_FISSA!$C6+BASELINE_FISSA!$H6*QUOTE_STORICO!I6+BASELINE_FISSA!$G6*BASELINE_FISSA!$D6)</x:f>
      </x:c>
      <x:c r="J6" s="92" t="str">
        <x:f>IF(QUOTE_STORICO!J6="","",BASELINE_FISSA!$E6*BASELINE_FISSA!$B6+BASELINE_FISSA!$F6*BASELINE_FISSA!$C6+BASELINE_FISSA!$H6*QUOTE_STORICO!J6+BASELINE_FISSA!$G6*BASELINE_FISSA!$D6)</x:f>
      </x:c>
      <x:c r="K6" s="92" t="str">
        <x:f>IF(QUOTE_STORICO!K6="","",BASELINE_FISSA!$E6*BASELINE_FISSA!$B6+BASELINE_FISSA!$F6*BASELINE_FISSA!$C6+BASELINE_FISSA!$H6*QUOTE_STORICO!K6+BASELINE_FISSA!$G6*BASELINE_FISSA!$D6)</x:f>
      </x:c>
      <x:c r="L6" s="92" t="str">
        <x:f>IF(QUOTE_STORICO!L6="","",BASELINE_FISSA!$E6*BASELINE_FISSA!$B6+BASELINE_FISSA!$F6*BASELINE_FISSA!$C6+BASELINE_FISSA!$H6*QUOTE_STORICO!L6+BASELINE_FISSA!$G6*BASELINE_FISSA!$D6)</x:f>
      </x:c>
      <x:c r="M6" s="92" t="str">
        <x:f>IF(QUOTE_STORICO!M6="","",BASELINE_FISSA!$E6*BASELINE_FISSA!$B6+BASELINE_FISSA!$F6*BASELINE_FISSA!$C6+BASELINE_FISSA!$H6*QUOTE_STORICO!M6+BASELINE_FISSA!$G6*BASELINE_FISSA!$D6)</x:f>
      </x:c>
      <x:c r="N6" s="92" t="str">
        <x:f>IF(QUOTE_STORICO!N6="","",BASELINE_FISSA!$E6*BASELINE_FISSA!$B6+BASELINE_FISSA!$F6*BASELINE_FISSA!$C6+BASELINE_FISSA!$H6*QUOTE_STORICO!N6+BASELINE_FISSA!$G6*BASELINE_FISSA!$D6)</x:f>
      </x:c>
    </x:row>
    <x:row r="7">
      <x:c r="A7" t="str">
        <x:v>Lombardia</x:v>
      </x:c>
      <x:c r="B7" s="92" t="n">
        <x:f>IF(QUOTE_STORICO!B7="","",BASELINE_FISSA!$E7*BASELINE_FISSA!$B7+BASELINE_FISSA!$F7*BASELINE_FISSA!$C7+BASELINE_FISSA!$H7*QUOTE_STORICO!B7+BASELINE_FISSA!$G7*BASELINE_FISSA!$D7)</x:f>
        <x:v>0.19111435583743902</x:v>
      </x:c>
      <x:c r="C7" s="92" t="str">
        <x:f>IF(QUOTE_STORICO!C7="","",BASELINE_FISSA!$E7*BASELINE_FISSA!$B7+BASELINE_FISSA!$F7*BASELINE_FISSA!$C7+BASELINE_FISSA!$H7*QUOTE_STORICO!C7+BASELINE_FISSA!$G7*BASELINE_FISSA!$D7)</x:f>
      </x:c>
      <x:c r="D7" s="92" t="str">
        <x:f>IF(QUOTE_STORICO!D7="","",BASELINE_FISSA!$E7*BASELINE_FISSA!$B7+BASELINE_FISSA!$F7*BASELINE_FISSA!$C7+BASELINE_FISSA!$H7*QUOTE_STORICO!D7+BASELINE_FISSA!$G7*BASELINE_FISSA!$D7)</x:f>
      </x:c>
      <x:c r="E7" s="92" t="str">
        <x:f>IF(QUOTE_STORICO!E7="","",BASELINE_FISSA!$E7*BASELINE_FISSA!$B7+BASELINE_FISSA!$F7*BASELINE_FISSA!$C7+BASELINE_FISSA!$H7*QUOTE_STORICO!E7+BASELINE_FISSA!$G7*BASELINE_FISSA!$D7)</x:f>
      </x:c>
      <x:c r="F7" s="92" t="str">
        <x:f>IF(QUOTE_STORICO!F7="","",BASELINE_FISSA!$E7*BASELINE_FISSA!$B7+BASELINE_FISSA!$F7*BASELINE_FISSA!$C7+BASELINE_FISSA!$H7*QUOTE_STORICO!F7+BASELINE_FISSA!$G7*BASELINE_FISSA!$D7)</x:f>
      </x:c>
      <x:c r="G7" s="92" t="str">
        <x:f>IF(QUOTE_STORICO!G7="","",BASELINE_FISSA!$E7*BASELINE_FISSA!$B7+BASELINE_FISSA!$F7*BASELINE_FISSA!$C7+BASELINE_FISSA!$H7*QUOTE_STORICO!G7+BASELINE_FISSA!$G7*BASELINE_FISSA!$D7)</x:f>
      </x:c>
      <x:c r="H7" s="92" t="str">
        <x:f>IF(QUOTE_STORICO!H7="","",BASELINE_FISSA!$E7*BASELINE_FISSA!$B7+BASELINE_FISSA!$F7*BASELINE_FISSA!$C7+BASELINE_FISSA!$H7*QUOTE_STORICO!H7+BASELINE_FISSA!$G7*BASELINE_FISSA!$D7)</x:f>
      </x:c>
      <x:c r="I7" s="92" t="str">
        <x:f>IF(QUOTE_STORICO!I7="","",BASELINE_FISSA!$E7*BASELINE_FISSA!$B7+BASELINE_FISSA!$F7*BASELINE_FISSA!$C7+BASELINE_FISSA!$H7*QUOTE_STORICO!I7+BASELINE_FISSA!$G7*BASELINE_FISSA!$D7)</x:f>
      </x:c>
      <x:c r="J7" s="92" t="str">
        <x:f>IF(QUOTE_STORICO!J7="","",BASELINE_FISSA!$E7*BASELINE_FISSA!$B7+BASELINE_FISSA!$F7*BASELINE_FISSA!$C7+BASELINE_FISSA!$H7*QUOTE_STORICO!J7+BASELINE_FISSA!$G7*BASELINE_FISSA!$D7)</x:f>
      </x:c>
      <x:c r="K7" s="92" t="str">
        <x:f>IF(QUOTE_STORICO!K7="","",BASELINE_FISSA!$E7*BASELINE_FISSA!$B7+BASELINE_FISSA!$F7*BASELINE_FISSA!$C7+BASELINE_FISSA!$H7*QUOTE_STORICO!K7+BASELINE_FISSA!$G7*BASELINE_FISSA!$D7)</x:f>
      </x:c>
      <x:c r="L7" s="92" t="str">
        <x:f>IF(QUOTE_STORICO!L7="","",BASELINE_FISSA!$E7*BASELINE_FISSA!$B7+BASELINE_FISSA!$F7*BASELINE_FISSA!$C7+BASELINE_FISSA!$H7*QUOTE_STORICO!L7+BASELINE_FISSA!$G7*BASELINE_FISSA!$D7)</x:f>
      </x:c>
      <x:c r="M7" s="92" t="str">
        <x:f>IF(QUOTE_STORICO!M7="","",BASELINE_FISSA!$E7*BASELINE_FISSA!$B7+BASELINE_FISSA!$F7*BASELINE_FISSA!$C7+BASELINE_FISSA!$H7*QUOTE_STORICO!M7+BASELINE_FISSA!$G7*BASELINE_FISSA!$D7)</x:f>
      </x:c>
      <x:c r="N7" s="92" t="str">
        <x:f>IF(QUOTE_STORICO!N7="","",BASELINE_FISSA!$E7*BASELINE_FISSA!$B7+BASELINE_FISSA!$F7*BASELINE_FISSA!$C7+BASELINE_FISSA!$H7*QUOTE_STORICO!N7+BASELINE_FISSA!$G7*BASELINE_FISSA!$D7)</x:f>
      </x:c>
    </x:row>
    <x:row r="8">
      <x:c r="A8" t="str">
        <x:v>Trentino-Alto Adige</x:v>
      </x:c>
      <x:c r="B8" s="92" t="n">
        <x:f>IF(QUOTE_STORICO!B8="","",BASELINE_FISSA!$E8*BASELINE_FISSA!$B8+BASELINE_FISSA!$F8*BASELINE_FISSA!$C8+BASELINE_FISSA!$H8*QUOTE_STORICO!B8+BASELINE_FISSA!$G8*BASELINE_FISSA!$D8)</x:f>
        <x:v>0.015579995945377066</x:v>
      </x:c>
      <x:c r="C8" s="92" t="str">
        <x:f>IF(QUOTE_STORICO!C8="","",BASELINE_FISSA!$E8*BASELINE_FISSA!$B8+BASELINE_FISSA!$F8*BASELINE_FISSA!$C8+BASELINE_FISSA!$H8*QUOTE_STORICO!C8+BASELINE_FISSA!$G8*BASELINE_FISSA!$D8)</x:f>
      </x:c>
      <x:c r="D8" s="92" t="str">
        <x:f>IF(QUOTE_STORICO!D8="","",BASELINE_FISSA!$E8*BASELINE_FISSA!$B8+BASELINE_FISSA!$F8*BASELINE_FISSA!$C8+BASELINE_FISSA!$H8*QUOTE_STORICO!D8+BASELINE_FISSA!$G8*BASELINE_FISSA!$D8)</x:f>
      </x:c>
      <x:c r="E8" s="92" t="str">
        <x:f>IF(QUOTE_STORICO!E8="","",BASELINE_FISSA!$E8*BASELINE_FISSA!$B8+BASELINE_FISSA!$F8*BASELINE_FISSA!$C8+BASELINE_FISSA!$H8*QUOTE_STORICO!E8+BASELINE_FISSA!$G8*BASELINE_FISSA!$D8)</x:f>
      </x:c>
      <x:c r="F8" s="92" t="str">
        <x:f>IF(QUOTE_STORICO!F8="","",BASELINE_FISSA!$E8*BASELINE_FISSA!$B8+BASELINE_FISSA!$F8*BASELINE_FISSA!$C8+BASELINE_FISSA!$H8*QUOTE_STORICO!F8+BASELINE_FISSA!$G8*BASELINE_FISSA!$D8)</x:f>
      </x:c>
      <x:c r="G8" s="92" t="str">
        <x:f>IF(QUOTE_STORICO!G8="","",BASELINE_FISSA!$E8*BASELINE_FISSA!$B8+BASELINE_FISSA!$F8*BASELINE_FISSA!$C8+BASELINE_FISSA!$H8*QUOTE_STORICO!G8+BASELINE_FISSA!$G8*BASELINE_FISSA!$D8)</x:f>
      </x:c>
      <x:c r="H8" s="92" t="str">
        <x:f>IF(QUOTE_STORICO!H8="","",BASELINE_FISSA!$E8*BASELINE_FISSA!$B8+BASELINE_FISSA!$F8*BASELINE_FISSA!$C8+BASELINE_FISSA!$H8*QUOTE_STORICO!H8+BASELINE_FISSA!$G8*BASELINE_FISSA!$D8)</x:f>
      </x:c>
      <x:c r="I8" s="92" t="str">
        <x:f>IF(QUOTE_STORICO!I8="","",BASELINE_FISSA!$E8*BASELINE_FISSA!$B8+BASELINE_FISSA!$F8*BASELINE_FISSA!$C8+BASELINE_FISSA!$H8*QUOTE_STORICO!I8+BASELINE_FISSA!$G8*BASELINE_FISSA!$D8)</x:f>
      </x:c>
      <x:c r="J8" s="92" t="str">
        <x:f>IF(QUOTE_STORICO!J8="","",BASELINE_FISSA!$E8*BASELINE_FISSA!$B8+BASELINE_FISSA!$F8*BASELINE_FISSA!$C8+BASELINE_FISSA!$H8*QUOTE_STORICO!J8+BASELINE_FISSA!$G8*BASELINE_FISSA!$D8)</x:f>
      </x:c>
      <x:c r="K8" s="92" t="str">
        <x:f>IF(QUOTE_STORICO!K8="","",BASELINE_FISSA!$E8*BASELINE_FISSA!$B8+BASELINE_FISSA!$F8*BASELINE_FISSA!$C8+BASELINE_FISSA!$H8*QUOTE_STORICO!K8+BASELINE_FISSA!$G8*BASELINE_FISSA!$D8)</x:f>
      </x:c>
      <x:c r="L8" s="92" t="str">
        <x:f>IF(QUOTE_STORICO!L8="","",BASELINE_FISSA!$E8*BASELINE_FISSA!$B8+BASELINE_FISSA!$F8*BASELINE_FISSA!$C8+BASELINE_FISSA!$H8*QUOTE_STORICO!L8+BASELINE_FISSA!$G8*BASELINE_FISSA!$D8)</x:f>
      </x:c>
      <x:c r="M8" s="92" t="str">
        <x:f>IF(QUOTE_STORICO!M8="","",BASELINE_FISSA!$E8*BASELINE_FISSA!$B8+BASELINE_FISSA!$F8*BASELINE_FISSA!$C8+BASELINE_FISSA!$H8*QUOTE_STORICO!M8+BASELINE_FISSA!$G8*BASELINE_FISSA!$D8)</x:f>
      </x:c>
      <x:c r="N8" s="92" t="str">
        <x:f>IF(QUOTE_STORICO!N8="","",BASELINE_FISSA!$E8*BASELINE_FISSA!$B8+BASELINE_FISSA!$F8*BASELINE_FISSA!$C8+BASELINE_FISSA!$H8*QUOTE_STORICO!N8+BASELINE_FISSA!$G8*BASELINE_FISSA!$D8)</x:f>
      </x:c>
    </x:row>
    <x:row r="9">
      <x:c r="A9" t="str">
        <x:v>Veneto</x:v>
      </x:c>
      <x:c r="B9" s="92" t="n">
        <x:f>IF(QUOTE_STORICO!B9="","",BASELINE_FISSA!$E9*BASELINE_FISSA!$B9+BASELINE_FISSA!$F9*BASELINE_FISSA!$C9+BASELINE_FISSA!$H9*QUOTE_STORICO!B9+BASELINE_FISSA!$G9*BASELINE_FISSA!$D9)</x:f>
        <x:v>0.11340757282219135</x:v>
      </x:c>
      <x:c r="C9" s="92" t="str">
        <x:f>IF(QUOTE_STORICO!C9="","",BASELINE_FISSA!$E9*BASELINE_FISSA!$B9+BASELINE_FISSA!$F9*BASELINE_FISSA!$C9+BASELINE_FISSA!$H9*QUOTE_STORICO!C9+BASELINE_FISSA!$G9*BASELINE_FISSA!$D9)</x:f>
      </x:c>
      <x:c r="D9" s="92" t="str">
        <x:f>IF(QUOTE_STORICO!D9="","",BASELINE_FISSA!$E9*BASELINE_FISSA!$B9+BASELINE_FISSA!$F9*BASELINE_FISSA!$C9+BASELINE_FISSA!$H9*QUOTE_STORICO!D9+BASELINE_FISSA!$G9*BASELINE_FISSA!$D9)</x:f>
      </x:c>
      <x:c r="E9" s="92" t="str">
        <x:f>IF(QUOTE_STORICO!E9="","",BASELINE_FISSA!$E9*BASELINE_FISSA!$B9+BASELINE_FISSA!$F9*BASELINE_FISSA!$C9+BASELINE_FISSA!$H9*QUOTE_STORICO!E9+BASELINE_FISSA!$G9*BASELINE_FISSA!$D9)</x:f>
      </x:c>
      <x:c r="F9" s="92" t="str">
        <x:f>IF(QUOTE_STORICO!F9="","",BASELINE_FISSA!$E9*BASELINE_FISSA!$B9+BASELINE_FISSA!$F9*BASELINE_FISSA!$C9+BASELINE_FISSA!$H9*QUOTE_STORICO!F9+BASELINE_FISSA!$G9*BASELINE_FISSA!$D9)</x:f>
      </x:c>
      <x:c r="G9" s="92" t="str">
        <x:f>IF(QUOTE_STORICO!G9="","",BASELINE_FISSA!$E9*BASELINE_FISSA!$B9+BASELINE_FISSA!$F9*BASELINE_FISSA!$C9+BASELINE_FISSA!$H9*QUOTE_STORICO!G9+BASELINE_FISSA!$G9*BASELINE_FISSA!$D9)</x:f>
      </x:c>
      <x:c r="H9" s="92" t="str">
        <x:f>IF(QUOTE_STORICO!H9="","",BASELINE_FISSA!$E9*BASELINE_FISSA!$B9+BASELINE_FISSA!$F9*BASELINE_FISSA!$C9+BASELINE_FISSA!$H9*QUOTE_STORICO!H9+BASELINE_FISSA!$G9*BASELINE_FISSA!$D9)</x:f>
      </x:c>
      <x:c r="I9" s="92" t="str">
        <x:f>IF(QUOTE_STORICO!I9="","",BASELINE_FISSA!$E9*BASELINE_FISSA!$B9+BASELINE_FISSA!$F9*BASELINE_FISSA!$C9+BASELINE_FISSA!$H9*QUOTE_STORICO!I9+BASELINE_FISSA!$G9*BASELINE_FISSA!$D9)</x:f>
      </x:c>
      <x:c r="J9" s="92" t="str">
        <x:f>IF(QUOTE_STORICO!J9="","",BASELINE_FISSA!$E9*BASELINE_FISSA!$B9+BASELINE_FISSA!$F9*BASELINE_FISSA!$C9+BASELINE_FISSA!$H9*QUOTE_STORICO!J9+BASELINE_FISSA!$G9*BASELINE_FISSA!$D9)</x:f>
      </x:c>
      <x:c r="K9" s="92" t="str">
        <x:f>IF(QUOTE_STORICO!K9="","",BASELINE_FISSA!$E9*BASELINE_FISSA!$B9+BASELINE_FISSA!$F9*BASELINE_FISSA!$C9+BASELINE_FISSA!$H9*QUOTE_STORICO!K9+BASELINE_FISSA!$G9*BASELINE_FISSA!$D9)</x:f>
      </x:c>
      <x:c r="L9" s="92" t="str">
        <x:f>IF(QUOTE_STORICO!L9="","",BASELINE_FISSA!$E9*BASELINE_FISSA!$B9+BASELINE_FISSA!$F9*BASELINE_FISSA!$C9+BASELINE_FISSA!$H9*QUOTE_STORICO!L9+BASELINE_FISSA!$G9*BASELINE_FISSA!$D9)</x:f>
      </x:c>
      <x:c r="M9" s="92" t="str">
        <x:f>IF(QUOTE_STORICO!M9="","",BASELINE_FISSA!$E9*BASELINE_FISSA!$B9+BASELINE_FISSA!$F9*BASELINE_FISSA!$C9+BASELINE_FISSA!$H9*QUOTE_STORICO!M9+BASELINE_FISSA!$G9*BASELINE_FISSA!$D9)</x:f>
      </x:c>
      <x:c r="N9" s="92" t="str">
        <x:f>IF(QUOTE_STORICO!N9="","",BASELINE_FISSA!$E9*BASELINE_FISSA!$B9+BASELINE_FISSA!$F9*BASELINE_FISSA!$C9+BASELINE_FISSA!$H9*QUOTE_STORICO!N9+BASELINE_FISSA!$G9*BASELINE_FISSA!$D9)</x:f>
      </x:c>
    </x:row>
    <x:row r="10">
      <x:c r="A10" t="str">
        <x:v>Friuli-Venezia Giulia</x:v>
      </x:c>
      <x:c r="B10" s="92" t="n">
        <x:f>IF(QUOTE_STORICO!B10="","",BASELINE_FISSA!$E10*BASELINE_FISSA!$B10+BASELINE_FISSA!$F10*BASELINE_FISSA!$C10+BASELINE_FISSA!$H10*QUOTE_STORICO!B10+BASELINE_FISSA!$G10*BASELINE_FISSA!$D10)</x:f>
        <x:v>0.025377303749636676</x:v>
      </x:c>
      <x:c r="C10" s="92" t="str">
        <x:f>IF(QUOTE_STORICO!C10="","",BASELINE_FISSA!$E10*BASELINE_FISSA!$B10+BASELINE_FISSA!$F10*BASELINE_FISSA!$C10+BASELINE_FISSA!$H10*QUOTE_STORICO!C10+BASELINE_FISSA!$G10*BASELINE_FISSA!$D10)</x:f>
      </x:c>
      <x:c r="D10" s="92" t="str">
        <x:f>IF(QUOTE_STORICO!D10="","",BASELINE_FISSA!$E10*BASELINE_FISSA!$B10+BASELINE_FISSA!$F10*BASELINE_FISSA!$C10+BASELINE_FISSA!$H10*QUOTE_STORICO!D10+BASELINE_FISSA!$G10*BASELINE_FISSA!$D10)</x:f>
      </x:c>
      <x:c r="E10" s="92" t="str">
        <x:f>IF(QUOTE_STORICO!E10="","",BASELINE_FISSA!$E10*BASELINE_FISSA!$B10+BASELINE_FISSA!$F10*BASELINE_FISSA!$C10+BASELINE_FISSA!$H10*QUOTE_STORICO!E10+BASELINE_FISSA!$G10*BASELINE_FISSA!$D10)</x:f>
      </x:c>
      <x:c r="F10" s="92" t="str">
        <x:f>IF(QUOTE_STORICO!F10="","",BASELINE_FISSA!$E10*BASELINE_FISSA!$B10+BASELINE_FISSA!$F10*BASELINE_FISSA!$C10+BASELINE_FISSA!$H10*QUOTE_STORICO!F10+BASELINE_FISSA!$G10*BASELINE_FISSA!$D10)</x:f>
      </x:c>
      <x:c r="G10" s="92" t="str">
        <x:f>IF(QUOTE_STORICO!G10="","",BASELINE_FISSA!$E10*BASELINE_FISSA!$B10+BASELINE_FISSA!$F10*BASELINE_FISSA!$C10+BASELINE_FISSA!$H10*QUOTE_STORICO!G10+BASELINE_FISSA!$G10*BASELINE_FISSA!$D10)</x:f>
      </x:c>
      <x:c r="H10" s="92" t="str">
        <x:f>IF(QUOTE_STORICO!H10="","",BASELINE_FISSA!$E10*BASELINE_FISSA!$B10+BASELINE_FISSA!$F10*BASELINE_FISSA!$C10+BASELINE_FISSA!$H10*QUOTE_STORICO!H10+BASELINE_FISSA!$G10*BASELINE_FISSA!$D10)</x:f>
      </x:c>
      <x:c r="I10" s="92" t="str">
        <x:f>IF(QUOTE_STORICO!I10="","",BASELINE_FISSA!$E10*BASELINE_FISSA!$B10+BASELINE_FISSA!$F10*BASELINE_FISSA!$C10+BASELINE_FISSA!$H10*QUOTE_STORICO!I10+BASELINE_FISSA!$G10*BASELINE_FISSA!$D10)</x:f>
      </x:c>
      <x:c r="J10" s="92" t="str">
        <x:f>IF(QUOTE_STORICO!J10="","",BASELINE_FISSA!$E10*BASELINE_FISSA!$B10+BASELINE_FISSA!$F10*BASELINE_FISSA!$C10+BASELINE_FISSA!$H10*QUOTE_STORICO!J10+BASELINE_FISSA!$G10*BASELINE_FISSA!$D10)</x:f>
      </x:c>
      <x:c r="K10" s="92" t="str">
        <x:f>IF(QUOTE_STORICO!K10="","",BASELINE_FISSA!$E10*BASELINE_FISSA!$B10+BASELINE_FISSA!$F10*BASELINE_FISSA!$C10+BASELINE_FISSA!$H10*QUOTE_STORICO!K10+BASELINE_FISSA!$G10*BASELINE_FISSA!$D10)</x:f>
      </x:c>
      <x:c r="L10" s="92" t="str">
        <x:f>IF(QUOTE_STORICO!L10="","",BASELINE_FISSA!$E10*BASELINE_FISSA!$B10+BASELINE_FISSA!$F10*BASELINE_FISSA!$C10+BASELINE_FISSA!$H10*QUOTE_STORICO!L10+BASELINE_FISSA!$G10*BASELINE_FISSA!$D10)</x:f>
      </x:c>
      <x:c r="M10" s="92" t="str">
        <x:f>IF(QUOTE_STORICO!M10="","",BASELINE_FISSA!$E10*BASELINE_FISSA!$B10+BASELINE_FISSA!$F10*BASELINE_FISSA!$C10+BASELINE_FISSA!$H10*QUOTE_STORICO!M10+BASELINE_FISSA!$G10*BASELINE_FISSA!$D10)</x:f>
      </x:c>
      <x:c r="N10" s="92" t="str">
        <x:f>IF(QUOTE_STORICO!N10="","",BASELINE_FISSA!$E10*BASELINE_FISSA!$B10+BASELINE_FISSA!$F10*BASELINE_FISSA!$C10+BASELINE_FISSA!$H10*QUOTE_STORICO!N10+BASELINE_FISSA!$G10*BASELINE_FISSA!$D10)</x:f>
      </x:c>
    </x:row>
    <x:row r="11">
      <x:c r="A11" t="str">
        <x:v>Emilia-Romagna</x:v>
      </x:c>
      <x:c r="B11" s="92" t="n">
        <x:f>IF(QUOTE_STORICO!B11="","",BASELINE_FISSA!$E11*BASELINE_FISSA!$B11+BASELINE_FISSA!$F11*BASELINE_FISSA!$C11+BASELINE_FISSA!$H11*QUOTE_STORICO!B11+BASELINE_FISSA!$G11*BASELINE_FISSA!$D11)</x:f>
        <x:v>0.06682140948055017</x:v>
      </x:c>
      <x:c r="C11" s="92" t="str">
        <x:f>IF(QUOTE_STORICO!C11="","",BASELINE_FISSA!$E11*BASELINE_FISSA!$B11+BASELINE_FISSA!$F11*BASELINE_FISSA!$C11+BASELINE_FISSA!$H11*QUOTE_STORICO!C11+BASELINE_FISSA!$G11*BASELINE_FISSA!$D11)</x:f>
      </x:c>
      <x:c r="D11" s="92" t="str">
        <x:f>IF(QUOTE_STORICO!D11="","",BASELINE_FISSA!$E11*BASELINE_FISSA!$B11+BASELINE_FISSA!$F11*BASELINE_FISSA!$C11+BASELINE_FISSA!$H11*QUOTE_STORICO!D11+BASELINE_FISSA!$G11*BASELINE_FISSA!$D11)</x:f>
      </x:c>
      <x:c r="E11" s="92" t="str">
        <x:f>IF(QUOTE_STORICO!E11="","",BASELINE_FISSA!$E11*BASELINE_FISSA!$B11+BASELINE_FISSA!$F11*BASELINE_FISSA!$C11+BASELINE_FISSA!$H11*QUOTE_STORICO!E11+BASELINE_FISSA!$G11*BASELINE_FISSA!$D11)</x:f>
      </x:c>
      <x:c r="F11" s="92" t="str">
        <x:f>IF(QUOTE_STORICO!F11="","",BASELINE_FISSA!$E11*BASELINE_FISSA!$B11+BASELINE_FISSA!$F11*BASELINE_FISSA!$C11+BASELINE_FISSA!$H11*QUOTE_STORICO!F11+BASELINE_FISSA!$G11*BASELINE_FISSA!$D11)</x:f>
      </x:c>
      <x:c r="G11" s="92" t="str">
        <x:f>IF(QUOTE_STORICO!G11="","",BASELINE_FISSA!$E11*BASELINE_FISSA!$B11+BASELINE_FISSA!$F11*BASELINE_FISSA!$C11+BASELINE_FISSA!$H11*QUOTE_STORICO!G11+BASELINE_FISSA!$G11*BASELINE_FISSA!$D11)</x:f>
      </x:c>
      <x:c r="H11" s="92" t="str">
        <x:f>IF(QUOTE_STORICO!H11="","",BASELINE_FISSA!$E11*BASELINE_FISSA!$B11+BASELINE_FISSA!$F11*BASELINE_FISSA!$C11+BASELINE_FISSA!$H11*QUOTE_STORICO!H11+BASELINE_FISSA!$G11*BASELINE_FISSA!$D11)</x:f>
      </x:c>
      <x:c r="I11" s="92" t="str">
        <x:f>IF(QUOTE_STORICO!I11="","",BASELINE_FISSA!$E11*BASELINE_FISSA!$B11+BASELINE_FISSA!$F11*BASELINE_FISSA!$C11+BASELINE_FISSA!$H11*QUOTE_STORICO!I11+BASELINE_FISSA!$G11*BASELINE_FISSA!$D11)</x:f>
      </x:c>
      <x:c r="J11" s="92" t="str">
        <x:f>IF(QUOTE_STORICO!J11="","",BASELINE_FISSA!$E11*BASELINE_FISSA!$B11+BASELINE_FISSA!$F11*BASELINE_FISSA!$C11+BASELINE_FISSA!$H11*QUOTE_STORICO!J11+BASELINE_FISSA!$G11*BASELINE_FISSA!$D11)</x:f>
      </x:c>
      <x:c r="K11" s="92" t="str">
        <x:f>IF(QUOTE_STORICO!K11="","",BASELINE_FISSA!$E11*BASELINE_FISSA!$B11+BASELINE_FISSA!$F11*BASELINE_FISSA!$C11+BASELINE_FISSA!$H11*QUOTE_STORICO!K11+BASELINE_FISSA!$G11*BASELINE_FISSA!$D11)</x:f>
      </x:c>
      <x:c r="L11" s="92" t="str">
        <x:f>IF(QUOTE_STORICO!L11="","",BASELINE_FISSA!$E11*BASELINE_FISSA!$B11+BASELINE_FISSA!$F11*BASELINE_FISSA!$C11+BASELINE_FISSA!$H11*QUOTE_STORICO!L11+BASELINE_FISSA!$G11*BASELINE_FISSA!$D11)</x:f>
      </x:c>
      <x:c r="M11" s="92" t="str">
        <x:f>IF(QUOTE_STORICO!M11="","",BASELINE_FISSA!$E11*BASELINE_FISSA!$B11+BASELINE_FISSA!$F11*BASELINE_FISSA!$C11+BASELINE_FISSA!$H11*QUOTE_STORICO!M11+BASELINE_FISSA!$G11*BASELINE_FISSA!$D11)</x:f>
      </x:c>
      <x:c r="N11" s="92" t="str">
        <x:f>IF(QUOTE_STORICO!N11="","",BASELINE_FISSA!$E11*BASELINE_FISSA!$B11+BASELINE_FISSA!$F11*BASELINE_FISSA!$C11+BASELINE_FISSA!$H11*QUOTE_STORICO!N11+BASELINE_FISSA!$G11*BASELINE_FISSA!$D11)</x:f>
      </x:c>
    </x:row>
    <x:row r="12">
      <x:c r="A12" t="str">
        <x:v>Toscana</x:v>
      </x:c>
      <x:c r="B12" s="92" t="n">
        <x:f>IF(QUOTE_STORICO!B12="","",BASELINE_FISSA!$E12*BASELINE_FISSA!$B12+BASELINE_FISSA!$F12*BASELINE_FISSA!$C12+BASELINE_FISSA!$H12*QUOTE_STORICO!B12+BASELINE_FISSA!$G12*BASELINE_FISSA!$D12)</x:f>
        <x:v>0.06252128016437758</x:v>
      </x:c>
      <x:c r="C12" s="92" t="str">
        <x:f>IF(QUOTE_STORICO!C12="","",BASELINE_FISSA!$E12*BASELINE_FISSA!$B12+BASELINE_FISSA!$F12*BASELINE_FISSA!$C12+BASELINE_FISSA!$H12*QUOTE_STORICO!C12+BASELINE_FISSA!$G12*BASELINE_FISSA!$D12)</x:f>
      </x:c>
      <x:c r="D12" s="92" t="str">
        <x:f>IF(QUOTE_STORICO!D12="","",BASELINE_FISSA!$E12*BASELINE_FISSA!$B12+BASELINE_FISSA!$F12*BASELINE_FISSA!$C12+BASELINE_FISSA!$H12*QUOTE_STORICO!D12+BASELINE_FISSA!$G12*BASELINE_FISSA!$D12)</x:f>
      </x:c>
      <x:c r="E12" s="92" t="str">
        <x:f>IF(QUOTE_STORICO!E12="","",BASELINE_FISSA!$E12*BASELINE_FISSA!$B12+BASELINE_FISSA!$F12*BASELINE_FISSA!$C12+BASELINE_FISSA!$H12*QUOTE_STORICO!E12+BASELINE_FISSA!$G12*BASELINE_FISSA!$D12)</x:f>
      </x:c>
      <x:c r="F12" s="92" t="str">
        <x:f>IF(QUOTE_STORICO!F12="","",BASELINE_FISSA!$E12*BASELINE_FISSA!$B12+BASELINE_FISSA!$F12*BASELINE_FISSA!$C12+BASELINE_FISSA!$H12*QUOTE_STORICO!F12+BASELINE_FISSA!$G12*BASELINE_FISSA!$D12)</x:f>
      </x:c>
      <x:c r="G12" s="92" t="str">
        <x:f>IF(QUOTE_STORICO!G12="","",BASELINE_FISSA!$E12*BASELINE_FISSA!$B12+BASELINE_FISSA!$F12*BASELINE_FISSA!$C12+BASELINE_FISSA!$H12*QUOTE_STORICO!G12+BASELINE_FISSA!$G12*BASELINE_FISSA!$D12)</x:f>
      </x:c>
      <x:c r="H12" s="92" t="str">
        <x:f>IF(QUOTE_STORICO!H12="","",BASELINE_FISSA!$E12*BASELINE_FISSA!$B12+BASELINE_FISSA!$F12*BASELINE_FISSA!$C12+BASELINE_FISSA!$H12*QUOTE_STORICO!H12+BASELINE_FISSA!$G12*BASELINE_FISSA!$D12)</x:f>
      </x:c>
      <x:c r="I12" s="92" t="str">
        <x:f>IF(QUOTE_STORICO!I12="","",BASELINE_FISSA!$E12*BASELINE_FISSA!$B12+BASELINE_FISSA!$F12*BASELINE_FISSA!$C12+BASELINE_FISSA!$H12*QUOTE_STORICO!I12+BASELINE_FISSA!$G12*BASELINE_FISSA!$D12)</x:f>
      </x:c>
      <x:c r="J12" s="92" t="str">
        <x:f>IF(QUOTE_STORICO!J12="","",BASELINE_FISSA!$E12*BASELINE_FISSA!$B12+BASELINE_FISSA!$F12*BASELINE_FISSA!$C12+BASELINE_FISSA!$H12*QUOTE_STORICO!J12+BASELINE_FISSA!$G12*BASELINE_FISSA!$D12)</x:f>
      </x:c>
      <x:c r="K12" s="92" t="str">
        <x:f>IF(QUOTE_STORICO!K12="","",BASELINE_FISSA!$E12*BASELINE_FISSA!$B12+BASELINE_FISSA!$F12*BASELINE_FISSA!$C12+BASELINE_FISSA!$H12*QUOTE_STORICO!K12+BASELINE_FISSA!$G12*BASELINE_FISSA!$D12)</x:f>
      </x:c>
      <x:c r="L12" s="92" t="str">
        <x:f>IF(QUOTE_STORICO!L12="","",BASELINE_FISSA!$E12*BASELINE_FISSA!$B12+BASELINE_FISSA!$F12*BASELINE_FISSA!$C12+BASELINE_FISSA!$H12*QUOTE_STORICO!L12+BASELINE_FISSA!$G12*BASELINE_FISSA!$D12)</x:f>
      </x:c>
      <x:c r="M12" s="92" t="str">
        <x:f>IF(QUOTE_STORICO!M12="","",BASELINE_FISSA!$E12*BASELINE_FISSA!$B12+BASELINE_FISSA!$F12*BASELINE_FISSA!$C12+BASELINE_FISSA!$H12*QUOTE_STORICO!M12+BASELINE_FISSA!$G12*BASELINE_FISSA!$D12)</x:f>
      </x:c>
      <x:c r="N12" s="92" t="str">
        <x:f>IF(QUOTE_STORICO!N12="","",BASELINE_FISSA!$E12*BASELINE_FISSA!$B12+BASELINE_FISSA!$F12*BASELINE_FISSA!$C12+BASELINE_FISSA!$H12*QUOTE_STORICO!N12+BASELINE_FISSA!$G12*BASELINE_FISSA!$D12)</x:f>
      </x:c>
    </x:row>
    <x:row r="13">
      <x:c r="A13" t="str">
        <x:v>Umbria</x:v>
      </x:c>
      <x:c r="B13" s="92" t="n">
        <x:f>IF(QUOTE_STORICO!B13="","",BASELINE_FISSA!$E13*BASELINE_FISSA!$B13+BASELINE_FISSA!$F13*BASELINE_FISSA!$C13+BASELINE_FISSA!$H13*QUOTE_STORICO!B13+BASELINE_FISSA!$G13*BASELINE_FISSA!$D13)</x:f>
        <x:v>0.012778603756989035</x:v>
      </x:c>
      <x:c r="C13" s="92" t="str">
        <x:f>IF(QUOTE_STORICO!C13="","",BASELINE_FISSA!$E13*BASELINE_FISSA!$B13+BASELINE_FISSA!$F13*BASELINE_FISSA!$C13+BASELINE_FISSA!$H13*QUOTE_STORICO!C13+BASELINE_FISSA!$G13*BASELINE_FISSA!$D13)</x:f>
      </x:c>
      <x:c r="D13" s="92" t="str">
        <x:f>IF(QUOTE_STORICO!D13="","",BASELINE_FISSA!$E13*BASELINE_FISSA!$B13+BASELINE_FISSA!$F13*BASELINE_FISSA!$C13+BASELINE_FISSA!$H13*QUOTE_STORICO!D13+BASELINE_FISSA!$G13*BASELINE_FISSA!$D13)</x:f>
      </x:c>
      <x:c r="E13" s="92" t="str">
        <x:f>IF(QUOTE_STORICO!E13="","",BASELINE_FISSA!$E13*BASELINE_FISSA!$B13+BASELINE_FISSA!$F13*BASELINE_FISSA!$C13+BASELINE_FISSA!$H13*QUOTE_STORICO!E13+BASELINE_FISSA!$G13*BASELINE_FISSA!$D13)</x:f>
      </x:c>
      <x:c r="F13" s="92" t="str">
        <x:f>IF(QUOTE_STORICO!F13="","",BASELINE_FISSA!$E13*BASELINE_FISSA!$B13+BASELINE_FISSA!$F13*BASELINE_FISSA!$C13+BASELINE_FISSA!$H13*QUOTE_STORICO!F13+BASELINE_FISSA!$G13*BASELINE_FISSA!$D13)</x:f>
      </x:c>
      <x:c r="G13" s="92" t="str">
        <x:f>IF(QUOTE_STORICO!G13="","",BASELINE_FISSA!$E13*BASELINE_FISSA!$B13+BASELINE_FISSA!$F13*BASELINE_FISSA!$C13+BASELINE_FISSA!$H13*QUOTE_STORICO!G13+BASELINE_FISSA!$G13*BASELINE_FISSA!$D13)</x:f>
      </x:c>
      <x:c r="H13" s="92" t="str">
        <x:f>IF(QUOTE_STORICO!H13="","",BASELINE_FISSA!$E13*BASELINE_FISSA!$B13+BASELINE_FISSA!$F13*BASELINE_FISSA!$C13+BASELINE_FISSA!$H13*QUOTE_STORICO!H13+BASELINE_FISSA!$G13*BASELINE_FISSA!$D13)</x:f>
      </x:c>
      <x:c r="I13" s="92" t="str">
        <x:f>IF(QUOTE_STORICO!I13="","",BASELINE_FISSA!$E13*BASELINE_FISSA!$B13+BASELINE_FISSA!$F13*BASELINE_FISSA!$C13+BASELINE_FISSA!$H13*QUOTE_STORICO!I13+BASELINE_FISSA!$G13*BASELINE_FISSA!$D13)</x:f>
      </x:c>
      <x:c r="J13" s="92" t="str">
        <x:f>IF(QUOTE_STORICO!J13="","",BASELINE_FISSA!$E13*BASELINE_FISSA!$B13+BASELINE_FISSA!$F13*BASELINE_FISSA!$C13+BASELINE_FISSA!$H13*QUOTE_STORICO!J13+BASELINE_FISSA!$G13*BASELINE_FISSA!$D13)</x:f>
      </x:c>
      <x:c r="K13" s="92" t="str">
        <x:f>IF(QUOTE_STORICO!K13="","",BASELINE_FISSA!$E13*BASELINE_FISSA!$B13+BASELINE_FISSA!$F13*BASELINE_FISSA!$C13+BASELINE_FISSA!$H13*QUOTE_STORICO!K13+BASELINE_FISSA!$G13*BASELINE_FISSA!$D13)</x:f>
      </x:c>
      <x:c r="L13" s="92" t="str">
        <x:f>IF(QUOTE_STORICO!L13="","",BASELINE_FISSA!$E13*BASELINE_FISSA!$B13+BASELINE_FISSA!$F13*BASELINE_FISSA!$C13+BASELINE_FISSA!$H13*QUOTE_STORICO!L13+BASELINE_FISSA!$G13*BASELINE_FISSA!$D13)</x:f>
      </x:c>
      <x:c r="M13" s="92" t="str">
        <x:f>IF(QUOTE_STORICO!M13="","",BASELINE_FISSA!$E13*BASELINE_FISSA!$B13+BASELINE_FISSA!$F13*BASELINE_FISSA!$C13+BASELINE_FISSA!$H13*QUOTE_STORICO!M13+BASELINE_FISSA!$G13*BASELINE_FISSA!$D13)</x:f>
      </x:c>
      <x:c r="N13" s="92" t="str">
        <x:f>IF(QUOTE_STORICO!N13="","",BASELINE_FISSA!$E13*BASELINE_FISSA!$B13+BASELINE_FISSA!$F13*BASELINE_FISSA!$C13+BASELINE_FISSA!$H13*QUOTE_STORICO!N13+BASELINE_FISSA!$G13*BASELINE_FISSA!$D13)</x:f>
      </x:c>
    </x:row>
    <x:row r="14">
      <x:c r="A14" t="str">
        <x:v>Marche</x:v>
      </x:c>
      <x:c r="B14" s="92" t="n">
        <x:f>IF(QUOTE_STORICO!B14="","",BASELINE_FISSA!$E14*BASELINE_FISSA!$B14+BASELINE_FISSA!$F14*BASELINE_FISSA!$C14+BASELINE_FISSA!$H14*QUOTE_STORICO!B14+BASELINE_FISSA!$G14*BASELINE_FISSA!$D14)</x:f>
        <x:v>0.027363605021428018</x:v>
      </x:c>
      <x:c r="C14" s="92" t="str">
        <x:f>IF(QUOTE_STORICO!C14="","",BASELINE_FISSA!$E14*BASELINE_FISSA!$B14+BASELINE_FISSA!$F14*BASELINE_FISSA!$C14+BASELINE_FISSA!$H14*QUOTE_STORICO!C14+BASELINE_FISSA!$G14*BASELINE_FISSA!$D14)</x:f>
      </x:c>
      <x:c r="D14" s="92" t="str">
        <x:f>IF(QUOTE_STORICO!D14="","",BASELINE_FISSA!$E14*BASELINE_FISSA!$B14+BASELINE_FISSA!$F14*BASELINE_FISSA!$C14+BASELINE_FISSA!$H14*QUOTE_STORICO!D14+BASELINE_FISSA!$G14*BASELINE_FISSA!$D14)</x:f>
      </x:c>
      <x:c r="E14" s="92" t="str">
        <x:f>IF(QUOTE_STORICO!E14="","",BASELINE_FISSA!$E14*BASELINE_FISSA!$B14+BASELINE_FISSA!$F14*BASELINE_FISSA!$C14+BASELINE_FISSA!$H14*QUOTE_STORICO!E14+BASELINE_FISSA!$G14*BASELINE_FISSA!$D14)</x:f>
      </x:c>
      <x:c r="F14" s="92" t="str">
        <x:f>IF(QUOTE_STORICO!F14="","",BASELINE_FISSA!$E14*BASELINE_FISSA!$B14+BASELINE_FISSA!$F14*BASELINE_FISSA!$C14+BASELINE_FISSA!$H14*QUOTE_STORICO!F14+BASELINE_FISSA!$G14*BASELINE_FISSA!$D14)</x:f>
      </x:c>
      <x:c r="G14" s="92" t="str">
        <x:f>IF(QUOTE_STORICO!G14="","",BASELINE_FISSA!$E14*BASELINE_FISSA!$B14+BASELINE_FISSA!$F14*BASELINE_FISSA!$C14+BASELINE_FISSA!$H14*QUOTE_STORICO!G14+BASELINE_FISSA!$G14*BASELINE_FISSA!$D14)</x:f>
      </x:c>
      <x:c r="H14" s="92" t="str">
        <x:f>IF(QUOTE_STORICO!H14="","",BASELINE_FISSA!$E14*BASELINE_FISSA!$B14+BASELINE_FISSA!$F14*BASELINE_FISSA!$C14+BASELINE_FISSA!$H14*QUOTE_STORICO!H14+BASELINE_FISSA!$G14*BASELINE_FISSA!$D14)</x:f>
      </x:c>
      <x:c r="I14" s="92" t="str">
        <x:f>IF(QUOTE_STORICO!I14="","",BASELINE_FISSA!$E14*BASELINE_FISSA!$B14+BASELINE_FISSA!$F14*BASELINE_FISSA!$C14+BASELINE_FISSA!$H14*QUOTE_STORICO!I14+BASELINE_FISSA!$G14*BASELINE_FISSA!$D14)</x:f>
      </x:c>
      <x:c r="J14" s="92" t="str">
        <x:f>IF(QUOTE_STORICO!J14="","",BASELINE_FISSA!$E14*BASELINE_FISSA!$B14+BASELINE_FISSA!$F14*BASELINE_FISSA!$C14+BASELINE_FISSA!$H14*QUOTE_STORICO!J14+BASELINE_FISSA!$G14*BASELINE_FISSA!$D14)</x:f>
      </x:c>
      <x:c r="K14" s="92" t="str">
        <x:f>IF(QUOTE_STORICO!K14="","",BASELINE_FISSA!$E14*BASELINE_FISSA!$B14+BASELINE_FISSA!$F14*BASELINE_FISSA!$C14+BASELINE_FISSA!$H14*QUOTE_STORICO!K14+BASELINE_FISSA!$G14*BASELINE_FISSA!$D14)</x:f>
      </x:c>
      <x:c r="L14" s="92" t="str">
        <x:f>IF(QUOTE_STORICO!L14="","",BASELINE_FISSA!$E14*BASELINE_FISSA!$B14+BASELINE_FISSA!$F14*BASELINE_FISSA!$C14+BASELINE_FISSA!$H14*QUOTE_STORICO!L14+BASELINE_FISSA!$G14*BASELINE_FISSA!$D14)</x:f>
      </x:c>
      <x:c r="M14" s="92" t="str">
        <x:f>IF(QUOTE_STORICO!M14="","",BASELINE_FISSA!$E14*BASELINE_FISSA!$B14+BASELINE_FISSA!$F14*BASELINE_FISSA!$C14+BASELINE_FISSA!$H14*QUOTE_STORICO!M14+BASELINE_FISSA!$G14*BASELINE_FISSA!$D14)</x:f>
      </x:c>
      <x:c r="N14" s="92" t="str">
        <x:f>IF(QUOTE_STORICO!N14="","",BASELINE_FISSA!$E14*BASELINE_FISSA!$B14+BASELINE_FISSA!$F14*BASELINE_FISSA!$C14+BASELINE_FISSA!$H14*QUOTE_STORICO!N14+BASELINE_FISSA!$G14*BASELINE_FISSA!$D14)</x:f>
      </x:c>
    </x:row>
    <x:row r="15">
      <x:c r="A15" t="str">
        <x:v>Lazio</x:v>
      </x:c>
      <x:c r="B15" s="92" t="n">
        <x:f>IF(QUOTE_STORICO!B15="","",BASELINE_FISSA!$E15*BASELINE_FISSA!$B15+BASELINE_FISSA!$F15*BASELINE_FISSA!$C15+BASELINE_FISSA!$H15*QUOTE_STORICO!B15+BASELINE_FISSA!$G15*BASELINE_FISSA!$D15)</x:f>
        <x:v>0.08142451283606573</x:v>
      </x:c>
      <x:c r="C15" s="92" t="str">
        <x:f>IF(QUOTE_STORICO!C15="","",BASELINE_FISSA!$E15*BASELINE_FISSA!$B15+BASELINE_FISSA!$F15*BASELINE_FISSA!$C15+BASELINE_FISSA!$H15*QUOTE_STORICO!C15+BASELINE_FISSA!$G15*BASELINE_FISSA!$D15)</x:f>
      </x:c>
      <x:c r="D15" s="92" t="str">
        <x:f>IF(QUOTE_STORICO!D15="","",BASELINE_FISSA!$E15*BASELINE_FISSA!$B15+BASELINE_FISSA!$F15*BASELINE_FISSA!$C15+BASELINE_FISSA!$H15*QUOTE_STORICO!D15+BASELINE_FISSA!$G15*BASELINE_FISSA!$D15)</x:f>
      </x:c>
      <x:c r="E15" s="92" t="str">
        <x:f>IF(QUOTE_STORICO!E15="","",BASELINE_FISSA!$E15*BASELINE_FISSA!$B15+BASELINE_FISSA!$F15*BASELINE_FISSA!$C15+BASELINE_FISSA!$H15*QUOTE_STORICO!E15+BASELINE_FISSA!$G15*BASELINE_FISSA!$D15)</x:f>
      </x:c>
      <x:c r="F15" s="92" t="str">
        <x:f>IF(QUOTE_STORICO!F15="","",BASELINE_FISSA!$E15*BASELINE_FISSA!$B15+BASELINE_FISSA!$F15*BASELINE_FISSA!$C15+BASELINE_FISSA!$H15*QUOTE_STORICO!F15+BASELINE_FISSA!$G15*BASELINE_FISSA!$D15)</x:f>
      </x:c>
      <x:c r="G15" s="92" t="str">
        <x:f>IF(QUOTE_STORICO!G15="","",BASELINE_FISSA!$E15*BASELINE_FISSA!$B15+BASELINE_FISSA!$F15*BASELINE_FISSA!$C15+BASELINE_FISSA!$H15*QUOTE_STORICO!G15+BASELINE_FISSA!$G15*BASELINE_FISSA!$D15)</x:f>
      </x:c>
      <x:c r="H15" s="92" t="str">
        <x:f>IF(QUOTE_STORICO!H15="","",BASELINE_FISSA!$E15*BASELINE_FISSA!$B15+BASELINE_FISSA!$F15*BASELINE_FISSA!$C15+BASELINE_FISSA!$H15*QUOTE_STORICO!H15+BASELINE_FISSA!$G15*BASELINE_FISSA!$D15)</x:f>
      </x:c>
      <x:c r="I15" s="92" t="str">
        <x:f>IF(QUOTE_STORICO!I15="","",BASELINE_FISSA!$E15*BASELINE_FISSA!$B15+BASELINE_FISSA!$F15*BASELINE_FISSA!$C15+BASELINE_FISSA!$H15*QUOTE_STORICO!I15+BASELINE_FISSA!$G15*BASELINE_FISSA!$D15)</x:f>
      </x:c>
      <x:c r="J15" s="92" t="str">
        <x:f>IF(QUOTE_STORICO!J15="","",BASELINE_FISSA!$E15*BASELINE_FISSA!$B15+BASELINE_FISSA!$F15*BASELINE_FISSA!$C15+BASELINE_FISSA!$H15*QUOTE_STORICO!J15+BASELINE_FISSA!$G15*BASELINE_FISSA!$D15)</x:f>
      </x:c>
      <x:c r="K15" s="92" t="str">
        <x:f>IF(QUOTE_STORICO!K15="","",BASELINE_FISSA!$E15*BASELINE_FISSA!$B15+BASELINE_FISSA!$F15*BASELINE_FISSA!$C15+BASELINE_FISSA!$H15*QUOTE_STORICO!K15+BASELINE_FISSA!$G15*BASELINE_FISSA!$D15)</x:f>
      </x:c>
      <x:c r="L15" s="92" t="str">
        <x:f>IF(QUOTE_STORICO!L15="","",BASELINE_FISSA!$E15*BASELINE_FISSA!$B15+BASELINE_FISSA!$F15*BASELINE_FISSA!$C15+BASELINE_FISSA!$H15*QUOTE_STORICO!L15+BASELINE_FISSA!$G15*BASELINE_FISSA!$D15)</x:f>
      </x:c>
      <x:c r="M15" s="92" t="str">
        <x:f>IF(QUOTE_STORICO!M15="","",BASELINE_FISSA!$E15*BASELINE_FISSA!$B15+BASELINE_FISSA!$F15*BASELINE_FISSA!$C15+BASELINE_FISSA!$H15*QUOTE_STORICO!M15+BASELINE_FISSA!$G15*BASELINE_FISSA!$D15)</x:f>
      </x:c>
      <x:c r="N15" s="92" t="str">
        <x:f>IF(QUOTE_STORICO!N15="","",BASELINE_FISSA!$E15*BASELINE_FISSA!$B15+BASELINE_FISSA!$F15*BASELINE_FISSA!$C15+BASELINE_FISSA!$H15*QUOTE_STORICO!N15+BASELINE_FISSA!$G15*BASELINE_FISSA!$D15)</x:f>
      </x:c>
    </x:row>
    <x:row r="16">
      <x:c r="A16" t="str">
        <x:v>Abruzzo</x:v>
      </x:c>
      <x:c r="B16" s="92" t="n">
        <x:f>IF(QUOTE_STORICO!B16="","",BASELINE_FISSA!$E16*BASELINE_FISSA!$B16+BASELINE_FISSA!$F16*BASELINE_FISSA!$C16+BASELINE_FISSA!$H16*QUOTE_STORICO!B16+BASELINE_FISSA!$G16*BASELINE_FISSA!$D16)</x:f>
        <x:v>0.0199148965399505</x:v>
      </x:c>
      <x:c r="C16" s="92" t="str">
        <x:f>IF(QUOTE_STORICO!C16="","",BASELINE_FISSA!$E16*BASELINE_FISSA!$B16+BASELINE_FISSA!$F16*BASELINE_FISSA!$C16+BASELINE_FISSA!$H16*QUOTE_STORICO!C16+BASELINE_FISSA!$G16*BASELINE_FISSA!$D16)</x:f>
      </x:c>
      <x:c r="D16" s="92" t="str">
        <x:f>IF(QUOTE_STORICO!D16="","",BASELINE_FISSA!$E16*BASELINE_FISSA!$B16+BASELINE_FISSA!$F16*BASELINE_FISSA!$C16+BASELINE_FISSA!$H16*QUOTE_STORICO!D16+BASELINE_FISSA!$G16*BASELINE_FISSA!$D16)</x:f>
      </x:c>
      <x:c r="E16" s="92" t="str">
        <x:f>IF(QUOTE_STORICO!E16="","",BASELINE_FISSA!$E16*BASELINE_FISSA!$B16+BASELINE_FISSA!$F16*BASELINE_FISSA!$C16+BASELINE_FISSA!$H16*QUOTE_STORICO!E16+BASELINE_FISSA!$G16*BASELINE_FISSA!$D16)</x:f>
      </x:c>
      <x:c r="F16" s="92" t="str">
        <x:f>IF(QUOTE_STORICO!F16="","",BASELINE_FISSA!$E16*BASELINE_FISSA!$B16+BASELINE_FISSA!$F16*BASELINE_FISSA!$C16+BASELINE_FISSA!$H16*QUOTE_STORICO!F16+BASELINE_FISSA!$G16*BASELINE_FISSA!$D16)</x:f>
      </x:c>
      <x:c r="G16" s="92" t="str">
        <x:f>IF(QUOTE_STORICO!G16="","",BASELINE_FISSA!$E16*BASELINE_FISSA!$B16+BASELINE_FISSA!$F16*BASELINE_FISSA!$C16+BASELINE_FISSA!$H16*QUOTE_STORICO!G16+BASELINE_FISSA!$G16*BASELINE_FISSA!$D16)</x:f>
      </x:c>
      <x:c r="H16" s="92" t="str">
        <x:f>IF(QUOTE_STORICO!H16="","",BASELINE_FISSA!$E16*BASELINE_FISSA!$B16+BASELINE_FISSA!$F16*BASELINE_FISSA!$C16+BASELINE_FISSA!$H16*QUOTE_STORICO!H16+BASELINE_FISSA!$G16*BASELINE_FISSA!$D16)</x:f>
      </x:c>
      <x:c r="I16" s="92" t="str">
        <x:f>IF(QUOTE_STORICO!I16="","",BASELINE_FISSA!$E16*BASELINE_FISSA!$B16+BASELINE_FISSA!$F16*BASELINE_FISSA!$C16+BASELINE_FISSA!$H16*QUOTE_STORICO!I16+BASELINE_FISSA!$G16*BASELINE_FISSA!$D16)</x:f>
      </x:c>
      <x:c r="J16" s="92" t="str">
        <x:f>IF(QUOTE_STORICO!J16="","",BASELINE_FISSA!$E16*BASELINE_FISSA!$B16+BASELINE_FISSA!$F16*BASELINE_FISSA!$C16+BASELINE_FISSA!$H16*QUOTE_STORICO!J16+BASELINE_FISSA!$G16*BASELINE_FISSA!$D16)</x:f>
      </x:c>
      <x:c r="K16" s="92" t="str">
        <x:f>IF(QUOTE_STORICO!K16="","",BASELINE_FISSA!$E16*BASELINE_FISSA!$B16+BASELINE_FISSA!$F16*BASELINE_FISSA!$C16+BASELINE_FISSA!$H16*QUOTE_STORICO!K16+BASELINE_FISSA!$G16*BASELINE_FISSA!$D16)</x:f>
      </x:c>
      <x:c r="L16" s="92" t="str">
        <x:f>IF(QUOTE_STORICO!L16="","",BASELINE_FISSA!$E16*BASELINE_FISSA!$B16+BASELINE_FISSA!$F16*BASELINE_FISSA!$C16+BASELINE_FISSA!$H16*QUOTE_STORICO!L16+BASELINE_FISSA!$G16*BASELINE_FISSA!$D16)</x:f>
      </x:c>
      <x:c r="M16" s="92" t="str">
        <x:f>IF(QUOTE_STORICO!M16="","",BASELINE_FISSA!$E16*BASELINE_FISSA!$B16+BASELINE_FISSA!$F16*BASELINE_FISSA!$C16+BASELINE_FISSA!$H16*QUOTE_STORICO!M16+BASELINE_FISSA!$G16*BASELINE_FISSA!$D16)</x:f>
      </x:c>
      <x:c r="N16" s="92" t="str">
        <x:f>IF(QUOTE_STORICO!N16="","",BASELINE_FISSA!$E16*BASELINE_FISSA!$B16+BASELINE_FISSA!$F16*BASELINE_FISSA!$C16+BASELINE_FISSA!$H16*QUOTE_STORICO!N16+BASELINE_FISSA!$G16*BASELINE_FISSA!$D16)</x:f>
      </x:c>
    </x:row>
    <x:row r="17">
      <x:c r="A17" t="str">
        <x:v>Molise</x:v>
      </x:c>
      <x:c r="B17" s="92" t="n">
        <x:f>IF(QUOTE_STORICO!B17="","",BASELINE_FISSA!$E17*BASELINE_FISSA!$B17+BASELINE_FISSA!$F17*BASELINE_FISSA!$C17+BASELINE_FISSA!$H17*QUOTE_STORICO!B17+BASELINE_FISSA!$G17*BASELINE_FISSA!$D17)</x:f>
        <x:v>0.006618290542684477</x:v>
      </x:c>
      <x:c r="C17" s="92" t="str">
        <x:f>IF(QUOTE_STORICO!C17="","",BASELINE_FISSA!$E17*BASELINE_FISSA!$B17+BASELINE_FISSA!$F17*BASELINE_FISSA!$C17+BASELINE_FISSA!$H17*QUOTE_STORICO!C17+BASELINE_FISSA!$G17*BASELINE_FISSA!$D17)</x:f>
      </x:c>
      <x:c r="D17" s="92" t="str">
        <x:f>IF(QUOTE_STORICO!D17="","",BASELINE_FISSA!$E17*BASELINE_FISSA!$B17+BASELINE_FISSA!$F17*BASELINE_FISSA!$C17+BASELINE_FISSA!$H17*QUOTE_STORICO!D17+BASELINE_FISSA!$G17*BASELINE_FISSA!$D17)</x:f>
      </x:c>
      <x:c r="E17" s="92" t="str">
        <x:f>IF(QUOTE_STORICO!E17="","",BASELINE_FISSA!$E17*BASELINE_FISSA!$B17+BASELINE_FISSA!$F17*BASELINE_FISSA!$C17+BASELINE_FISSA!$H17*QUOTE_STORICO!E17+BASELINE_FISSA!$G17*BASELINE_FISSA!$D17)</x:f>
      </x:c>
      <x:c r="F17" s="92" t="str">
        <x:f>IF(QUOTE_STORICO!F17="","",BASELINE_FISSA!$E17*BASELINE_FISSA!$B17+BASELINE_FISSA!$F17*BASELINE_FISSA!$C17+BASELINE_FISSA!$H17*QUOTE_STORICO!F17+BASELINE_FISSA!$G17*BASELINE_FISSA!$D17)</x:f>
      </x:c>
      <x:c r="G17" s="92" t="str">
        <x:f>IF(QUOTE_STORICO!G17="","",BASELINE_FISSA!$E17*BASELINE_FISSA!$B17+BASELINE_FISSA!$F17*BASELINE_FISSA!$C17+BASELINE_FISSA!$H17*QUOTE_STORICO!G17+BASELINE_FISSA!$G17*BASELINE_FISSA!$D17)</x:f>
      </x:c>
      <x:c r="H17" s="92" t="str">
        <x:f>IF(QUOTE_STORICO!H17="","",BASELINE_FISSA!$E17*BASELINE_FISSA!$B17+BASELINE_FISSA!$F17*BASELINE_FISSA!$C17+BASELINE_FISSA!$H17*QUOTE_STORICO!H17+BASELINE_FISSA!$G17*BASELINE_FISSA!$D17)</x:f>
      </x:c>
      <x:c r="I17" s="92" t="str">
        <x:f>IF(QUOTE_STORICO!I17="","",BASELINE_FISSA!$E17*BASELINE_FISSA!$B17+BASELINE_FISSA!$F17*BASELINE_FISSA!$C17+BASELINE_FISSA!$H17*QUOTE_STORICO!I17+BASELINE_FISSA!$G17*BASELINE_FISSA!$D17)</x:f>
      </x:c>
      <x:c r="J17" s="92" t="str">
        <x:f>IF(QUOTE_STORICO!J17="","",BASELINE_FISSA!$E17*BASELINE_FISSA!$B17+BASELINE_FISSA!$F17*BASELINE_FISSA!$C17+BASELINE_FISSA!$H17*QUOTE_STORICO!J17+BASELINE_FISSA!$G17*BASELINE_FISSA!$D17)</x:f>
      </x:c>
      <x:c r="K17" s="92" t="str">
        <x:f>IF(QUOTE_STORICO!K17="","",BASELINE_FISSA!$E17*BASELINE_FISSA!$B17+BASELINE_FISSA!$F17*BASELINE_FISSA!$C17+BASELINE_FISSA!$H17*QUOTE_STORICO!K17+BASELINE_FISSA!$G17*BASELINE_FISSA!$D17)</x:f>
      </x:c>
      <x:c r="L17" s="92" t="str">
        <x:f>IF(QUOTE_STORICO!L17="","",BASELINE_FISSA!$E17*BASELINE_FISSA!$B17+BASELINE_FISSA!$F17*BASELINE_FISSA!$C17+BASELINE_FISSA!$H17*QUOTE_STORICO!L17+BASELINE_FISSA!$G17*BASELINE_FISSA!$D17)</x:f>
      </x:c>
      <x:c r="M17" s="92" t="str">
        <x:f>IF(QUOTE_STORICO!M17="","",BASELINE_FISSA!$E17*BASELINE_FISSA!$B17+BASELINE_FISSA!$F17*BASELINE_FISSA!$C17+BASELINE_FISSA!$H17*QUOTE_STORICO!M17+BASELINE_FISSA!$G17*BASELINE_FISSA!$D17)</x:f>
      </x:c>
      <x:c r="N17" s="92" t="str">
        <x:f>IF(QUOTE_STORICO!N17="","",BASELINE_FISSA!$E17*BASELINE_FISSA!$B17+BASELINE_FISSA!$F17*BASELINE_FISSA!$C17+BASELINE_FISSA!$H17*QUOTE_STORICO!N17+BASELINE_FISSA!$G17*BASELINE_FISSA!$D17)</x:f>
      </x:c>
    </x:row>
    <x:row r="18">
      <x:c r="A18" t="str">
        <x:v>Campania</x:v>
      </x:c>
      <x:c r="B18" s="92" t="n">
        <x:f>IF(QUOTE_STORICO!B18="","",BASELINE_FISSA!$E18*BASELINE_FISSA!$B18+BASELINE_FISSA!$F18*BASELINE_FISSA!$C18+BASELINE_FISSA!$H18*QUOTE_STORICO!B18+BASELINE_FISSA!$G18*BASELINE_FISSA!$D18)</x:f>
        <x:v>0.0683599747306693</x:v>
      </x:c>
      <x:c r="C18" s="92" t="str">
        <x:f>IF(QUOTE_STORICO!C18="","",BASELINE_FISSA!$E18*BASELINE_FISSA!$B18+BASELINE_FISSA!$F18*BASELINE_FISSA!$C18+BASELINE_FISSA!$H18*QUOTE_STORICO!C18+BASELINE_FISSA!$G18*BASELINE_FISSA!$D18)</x:f>
      </x:c>
      <x:c r="D18" s="92" t="str">
        <x:f>IF(QUOTE_STORICO!D18="","",BASELINE_FISSA!$E18*BASELINE_FISSA!$B18+BASELINE_FISSA!$F18*BASELINE_FISSA!$C18+BASELINE_FISSA!$H18*QUOTE_STORICO!D18+BASELINE_FISSA!$G18*BASELINE_FISSA!$D18)</x:f>
      </x:c>
      <x:c r="E18" s="92" t="str">
        <x:f>IF(QUOTE_STORICO!E18="","",BASELINE_FISSA!$E18*BASELINE_FISSA!$B18+BASELINE_FISSA!$F18*BASELINE_FISSA!$C18+BASELINE_FISSA!$H18*QUOTE_STORICO!E18+BASELINE_FISSA!$G18*BASELINE_FISSA!$D18)</x:f>
      </x:c>
      <x:c r="F18" s="92" t="str">
        <x:f>IF(QUOTE_STORICO!F18="","",BASELINE_FISSA!$E18*BASELINE_FISSA!$B18+BASELINE_FISSA!$F18*BASELINE_FISSA!$C18+BASELINE_FISSA!$H18*QUOTE_STORICO!F18+BASELINE_FISSA!$G18*BASELINE_FISSA!$D18)</x:f>
      </x:c>
      <x:c r="G18" s="92" t="str">
        <x:f>IF(QUOTE_STORICO!G18="","",BASELINE_FISSA!$E18*BASELINE_FISSA!$B18+BASELINE_FISSA!$F18*BASELINE_FISSA!$C18+BASELINE_FISSA!$H18*QUOTE_STORICO!G18+BASELINE_FISSA!$G18*BASELINE_FISSA!$D18)</x:f>
      </x:c>
      <x:c r="H18" s="92" t="str">
        <x:f>IF(QUOTE_STORICO!H18="","",BASELINE_FISSA!$E18*BASELINE_FISSA!$B18+BASELINE_FISSA!$F18*BASELINE_FISSA!$C18+BASELINE_FISSA!$H18*QUOTE_STORICO!H18+BASELINE_FISSA!$G18*BASELINE_FISSA!$D18)</x:f>
      </x:c>
      <x:c r="I18" s="92" t="str">
        <x:f>IF(QUOTE_STORICO!I18="","",BASELINE_FISSA!$E18*BASELINE_FISSA!$B18+BASELINE_FISSA!$F18*BASELINE_FISSA!$C18+BASELINE_FISSA!$H18*QUOTE_STORICO!I18+BASELINE_FISSA!$G18*BASELINE_FISSA!$D18)</x:f>
      </x:c>
      <x:c r="J18" s="92" t="str">
        <x:f>IF(QUOTE_STORICO!J18="","",BASELINE_FISSA!$E18*BASELINE_FISSA!$B18+BASELINE_FISSA!$F18*BASELINE_FISSA!$C18+BASELINE_FISSA!$H18*QUOTE_STORICO!J18+BASELINE_FISSA!$G18*BASELINE_FISSA!$D18)</x:f>
      </x:c>
      <x:c r="K18" s="92" t="str">
        <x:f>IF(QUOTE_STORICO!K18="","",BASELINE_FISSA!$E18*BASELINE_FISSA!$B18+BASELINE_FISSA!$F18*BASELINE_FISSA!$C18+BASELINE_FISSA!$H18*QUOTE_STORICO!K18+BASELINE_FISSA!$G18*BASELINE_FISSA!$D18)</x:f>
      </x:c>
      <x:c r="L18" s="92" t="str">
        <x:f>IF(QUOTE_STORICO!L18="","",BASELINE_FISSA!$E18*BASELINE_FISSA!$B18+BASELINE_FISSA!$F18*BASELINE_FISSA!$C18+BASELINE_FISSA!$H18*QUOTE_STORICO!L18+BASELINE_FISSA!$G18*BASELINE_FISSA!$D18)</x:f>
      </x:c>
      <x:c r="M18" s="92" t="str">
        <x:f>IF(QUOTE_STORICO!M18="","",BASELINE_FISSA!$E18*BASELINE_FISSA!$B18+BASELINE_FISSA!$F18*BASELINE_FISSA!$C18+BASELINE_FISSA!$H18*QUOTE_STORICO!M18+BASELINE_FISSA!$G18*BASELINE_FISSA!$D18)</x:f>
      </x:c>
      <x:c r="N18" s="92" t="str">
        <x:f>IF(QUOTE_STORICO!N18="","",BASELINE_FISSA!$E18*BASELINE_FISSA!$B18+BASELINE_FISSA!$F18*BASELINE_FISSA!$C18+BASELINE_FISSA!$H18*QUOTE_STORICO!N18+BASELINE_FISSA!$G18*BASELINE_FISSA!$D18)</x:f>
      </x:c>
    </x:row>
    <x:row r="19">
      <x:c r="A19" t="str">
        <x:v>Puglia</x:v>
      </x:c>
      <x:c r="B19" s="92" t="n">
        <x:f>IF(QUOTE_STORICO!B19="","",BASELINE_FISSA!$E19*BASELINE_FISSA!$B19+BASELINE_FISSA!$F19*BASELINE_FISSA!$C19+BASELINE_FISSA!$H19*QUOTE_STORICO!B19+BASELINE_FISSA!$G19*BASELINE_FISSA!$D19)</x:f>
        <x:v>0.05935927479046853</x:v>
      </x:c>
      <x:c r="C19" s="92" t="str">
        <x:f>IF(QUOTE_STORICO!C19="","",BASELINE_FISSA!$E19*BASELINE_FISSA!$B19+BASELINE_FISSA!$F19*BASELINE_FISSA!$C19+BASELINE_FISSA!$H19*QUOTE_STORICO!C19+BASELINE_FISSA!$G19*BASELINE_FISSA!$D19)</x:f>
      </x:c>
      <x:c r="D19" s="92" t="str">
        <x:f>IF(QUOTE_STORICO!D19="","",BASELINE_FISSA!$E19*BASELINE_FISSA!$B19+BASELINE_FISSA!$F19*BASELINE_FISSA!$C19+BASELINE_FISSA!$H19*QUOTE_STORICO!D19+BASELINE_FISSA!$G19*BASELINE_FISSA!$D19)</x:f>
      </x:c>
      <x:c r="E19" s="92" t="str">
        <x:f>IF(QUOTE_STORICO!E19="","",BASELINE_FISSA!$E19*BASELINE_FISSA!$B19+BASELINE_FISSA!$F19*BASELINE_FISSA!$C19+BASELINE_FISSA!$H19*QUOTE_STORICO!E19+BASELINE_FISSA!$G19*BASELINE_FISSA!$D19)</x:f>
      </x:c>
      <x:c r="F19" s="92" t="str">
        <x:f>IF(QUOTE_STORICO!F19="","",BASELINE_FISSA!$E19*BASELINE_FISSA!$B19+BASELINE_FISSA!$F19*BASELINE_FISSA!$C19+BASELINE_FISSA!$H19*QUOTE_STORICO!F19+BASELINE_FISSA!$G19*BASELINE_FISSA!$D19)</x:f>
      </x:c>
      <x:c r="G19" s="92" t="str">
        <x:f>IF(QUOTE_STORICO!G19="","",BASELINE_FISSA!$E19*BASELINE_FISSA!$B19+BASELINE_FISSA!$F19*BASELINE_FISSA!$C19+BASELINE_FISSA!$H19*QUOTE_STORICO!G19+BASELINE_FISSA!$G19*BASELINE_FISSA!$D19)</x:f>
      </x:c>
      <x:c r="H19" s="92" t="str">
        <x:f>IF(QUOTE_STORICO!H19="","",BASELINE_FISSA!$E19*BASELINE_FISSA!$B19+BASELINE_FISSA!$F19*BASELINE_FISSA!$C19+BASELINE_FISSA!$H19*QUOTE_STORICO!H19+BASELINE_FISSA!$G19*BASELINE_FISSA!$D19)</x:f>
      </x:c>
      <x:c r="I19" s="92" t="str">
        <x:f>IF(QUOTE_STORICO!I19="","",BASELINE_FISSA!$E19*BASELINE_FISSA!$B19+BASELINE_FISSA!$F19*BASELINE_FISSA!$C19+BASELINE_FISSA!$H19*QUOTE_STORICO!I19+BASELINE_FISSA!$G19*BASELINE_FISSA!$D19)</x:f>
      </x:c>
      <x:c r="J19" s="92" t="str">
        <x:f>IF(QUOTE_STORICO!J19="","",BASELINE_FISSA!$E19*BASELINE_FISSA!$B19+BASELINE_FISSA!$F19*BASELINE_FISSA!$C19+BASELINE_FISSA!$H19*QUOTE_STORICO!J19+BASELINE_FISSA!$G19*BASELINE_FISSA!$D19)</x:f>
      </x:c>
      <x:c r="K19" s="92" t="str">
        <x:f>IF(QUOTE_STORICO!K19="","",BASELINE_FISSA!$E19*BASELINE_FISSA!$B19+BASELINE_FISSA!$F19*BASELINE_FISSA!$C19+BASELINE_FISSA!$H19*QUOTE_STORICO!K19+BASELINE_FISSA!$G19*BASELINE_FISSA!$D19)</x:f>
      </x:c>
      <x:c r="L19" s="92" t="str">
        <x:f>IF(QUOTE_STORICO!L19="","",BASELINE_FISSA!$E19*BASELINE_FISSA!$B19+BASELINE_FISSA!$F19*BASELINE_FISSA!$C19+BASELINE_FISSA!$H19*QUOTE_STORICO!L19+BASELINE_FISSA!$G19*BASELINE_FISSA!$D19)</x:f>
      </x:c>
      <x:c r="M19" s="92" t="str">
        <x:f>IF(QUOTE_STORICO!M19="","",BASELINE_FISSA!$E19*BASELINE_FISSA!$B19+BASELINE_FISSA!$F19*BASELINE_FISSA!$C19+BASELINE_FISSA!$H19*QUOTE_STORICO!M19+BASELINE_FISSA!$G19*BASELINE_FISSA!$D19)</x:f>
      </x:c>
      <x:c r="N19" s="92" t="str">
        <x:f>IF(QUOTE_STORICO!N19="","",BASELINE_FISSA!$E19*BASELINE_FISSA!$B19+BASELINE_FISSA!$F19*BASELINE_FISSA!$C19+BASELINE_FISSA!$H19*QUOTE_STORICO!N19+BASELINE_FISSA!$G19*BASELINE_FISSA!$D19)</x:f>
      </x:c>
    </x:row>
    <x:row r="20">
      <x:c r="A20" t="str">
        <x:v>Basilicata</x:v>
      </x:c>
      <x:c r="B20" s="92" t="n">
        <x:f>IF(QUOTE_STORICO!B20="","",BASELINE_FISSA!$E20*BASELINE_FISSA!$B20+BASELINE_FISSA!$F20*BASELINE_FISSA!$C20+BASELINE_FISSA!$H20*QUOTE_STORICO!B20+BASELINE_FISSA!$G20*BASELINE_FISSA!$D20)</x:f>
        <x:v>0.009077437486343666</x:v>
      </x:c>
      <x:c r="C20" s="92" t="str">
        <x:f>IF(QUOTE_STORICO!C20="","",BASELINE_FISSA!$E20*BASELINE_FISSA!$B20+BASELINE_FISSA!$F20*BASELINE_FISSA!$C20+BASELINE_FISSA!$H20*QUOTE_STORICO!C20+BASELINE_FISSA!$G20*BASELINE_FISSA!$D20)</x:f>
      </x:c>
      <x:c r="D20" s="92" t="str">
        <x:f>IF(QUOTE_STORICO!D20="","",BASELINE_FISSA!$E20*BASELINE_FISSA!$B20+BASELINE_FISSA!$F20*BASELINE_FISSA!$C20+BASELINE_FISSA!$H20*QUOTE_STORICO!D20+BASELINE_FISSA!$G20*BASELINE_FISSA!$D20)</x:f>
      </x:c>
      <x:c r="E20" s="92" t="str">
        <x:f>IF(QUOTE_STORICO!E20="","",BASELINE_FISSA!$E20*BASELINE_FISSA!$B20+BASELINE_FISSA!$F20*BASELINE_FISSA!$C20+BASELINE_FISSA!$H20*QUOTE_STORICO!E20+BASELINE_FISSA!$G20*BASELINE_FISSA!$D20)</x:f>
      </x:c>
      <x:c r="F20" s="92" t="str">
        <x:f>IF(QUOTE_STORICO!F20="","",BASELINE_FISSA!$E20*BASELINE_FISSA!$B20+BASELINE_FISSA!$F20*BASELINE_FISSA!$C20+BASELINE_FISSA!$H20*QUOTE_STORICO!F20+BASELINE_FISSA!$G20*BASELINE_FISSA!$D20)</x:f>
      </x:c>
      <x:c r="G20" s="92" t="str">
        <x:f>IF(QUOTE_STORICO!G20="","",BASELINE_FISSA!$E20*BASELINE_FISSA!$B20+BASELINE_FISSA!$F20*BASELINE_FISSA!$C20+BASELINE_FISSA!$H20*QUOTE_STORICO!G20+BASELINE_FISSA!$G20*BASELINE_FISSA!$D20)</x:f>
      </x:c>
      <x:c r="H20" s="92" t="str">
        <x:f>IF(QUOTE_STORICO!H20="","",BASELINE_FISSA!$E20*BASELINE_FISSA!$B20+BASELINE_FISSA!$F20*BASELINE_FISSA!$C20+BASELINE_FISSA!$H20*QUOTE_STORICO!H20+BASELINE_FISSA!$G20*BASELINE_FISSA!$D20)</x:f>
      </x:c>
      <x:c r="I20" s="92" t="str">
        <x:f>IF(QUOTE_STORICO!I20="","",BASELINE_FISSA!$E20*BASELINE_FISSA!$B20+BASELINE_FISSA!$F20*BASELINE_FISSA!$C20+BASELINE_FISSA!$H20*QUOTE_STORICO!I20+BASELINE_FISSA!$G20*BASELINE_FISSA!$D20)</x:f>
      </x:c>
      <x:c r="J20" s="92" t="str">
        <x:f>IF(QUOTE_STORICO!J20="","",BASELINE_FISSA!$E20*BASELINE_FISSA!$B20+BASELINE_FISSA!$F20*BASELINE_FISSA!$C20+BASELINE_FISSA!$H20*QUOTE_STORICO!J20+BASELINE_FISSA!$G20*BASELINE_FISSA!$D20)</x:f>
      </x:c>
      <x:c r="K20" s="92" t="str">
        <x:f>IF(QUOTE_STORICO!K20="","",BASELINE_FISSA!$E20*BASELINE_FISSA!$B20+BASELINE_FISSA!$F20*BASELINE_FISSA!$C20+BASELINE_FISSA!$H20*QUOTE_STORICO!K20+BASELINE_FISSA!$G20*BASELINE_FISSA!$D20)</x:f>
      </x:c>
      <x:c r="L20" s="92" t="str">
        <x:f>IF(QUOTE_STORICO!L20="","",BASELINE_FISSA!$E20*BASELINE_FISSA!$B20+BASELINE_FISSA!$F20*BASELINE_FISSA!$C20+BASELINE_FISSA!$H20*QUOTE_STORICO!L20+BASELINE_FISSA!$G20*BASELINE_FISSA!$D20)</x:f>
      </x:c>
      <x:c r="M20" s="92" t="str">
        <x:f>IF(QUOTE_STORICO!M20="","",BASELINE_FISSA!$E20*BASELINE_FISSA!$B20+BASELINE_FISSA!$F20*BASELINE_FISSA!$C20+BASELINE_FISSA!$H20*QUOTE_STORICO!M20+BASELINE_FISSA!$G20*BASELINE_FISSA!$D20)</x:f>
      </x:c>
      <x:c r="N20" s="92" t="str">
        <x:f>IF(QUOTE_STORICO!N20="","",BASELINE_FISSA!$E20*BASELINE_FISSA!$B20+BASELINE_FISSA!$F20*BASELINE_FISSA!$C20+BASELINE_FISSA!$H20*QUOTE_STORICO!N20+BASELINE_FISSA!$G20*BASELINE_FISSA!$D20)</x:f>
      </x:c>
    </x:row>
    <x:row r="21">
      <x:c r="A21" t="str">
        <x:v>Calabria</x:v>
      </x:c>
      <x:c r="B21" s="92" t="n">
        <x:f>IF(QUOTE_STORICO!B21="","",BASELINE_FISSA!$E21*BASELINE_FISSA!$B21+BASELINE_FISSA!$F21*BASELINE_FISSA!$C21+BASELINE_FISSA!$H21*QUOTE_STORICO!B21+BASELINE_FISSA!$G21*BASELINE_FISSA!$D21)</x:f>
        <x:v>0.03984893899456678</x:v>
      </x:c>
      <x:c r="C21" s="92" t="str">
        <x:f>IF(QUOTE_STORICO!C21="","",BASELINE_FISSA!$E21*BASELINE_FISSA!$B21+BASELINE_FISSA!$F21*BASELINE_FISSA!$C21+BASELINE_FISSA!$H21*QUOTE_STORICO!C21+BASELINE_FISSA!$G21*BASELINE_FISSA!$D21)</x:f>
      </x:c>
      <x:c r="D21" s="92" t="str">
        <x:f>IF(QUOTE_STORICO!D21="","",BASELINE_FISSA!$E21*BASELINE_FISSA!$B21+BASELINE_FISSA!$F21*BASELINE_FISSA!$C21+BASELINE_FISSA!$H21*QUOTE_STORICO!D21+BASELINE_FISSA!$G21*BASELINE_FISSA!$D21)</x:f>
      </x:c>
      <x:c r="E21" s="92" t="str">
        <x:f>IF(QUOTE_STORICO!E21="","",BASELINE_FISSA!$E21*BASELINE_FISSA!$B21+BASELINE_FISSA!$F21*BASELINE_FISSA!$C21+BASELINE_FISSA!$H21*QUOTE_STORICO!E21+BASELINE_FISSA!$G21*BASELINE_FISSA!$D21)</x:f>
      </x:c>
      <x:c r="F21" s="92" t="str">
        <x:f>IF(QUOTE_STORICO!F21="","",BASELINE_FISSA!$E21*BASELINE_FISSA!$B21+BASELINE_FISSA!$F21*BASELINE_FISSA!$C21+BASELINE_FISSA!$H21*QUOTE_STORICO!F21+BASELINE_FISSA!$G21*BASELINE_FISSA!$D21)</x:f>
      </x:c>
      <x:c r="G21" s="92" t="str">
        <x:f>IF(QUOTE_STORICO!G21="","",BASELINE_FISSA!$E21*BASELINE_FISSA!$B21+BASELINE_FISSA!$F21*BASELINE_FISSA!$C21+BASELINE_FISSA!$H21*QUOTE_STORICO!G21+BASELINE_FISSA!$G21*BASELINE_FISSA!$D21)</x:f>
      </x:c>
      <x:c r="H21" s="92" t="str">
        <x:f>IF(QUOTE_STORICO!H21="","",BASELINE_FISSA!$E21*BASELINE_FISSA!$B21+BASELINE_FISSA!$F21*BASELINE_FISSA!$C21+BASELINE_FISSA!$H21*QUOTE_STORICO!H21+BASELINE_FISSA!$G21*BASELINE_FISSA!$D21)</x:f>
      </x:c>
      <x:c r="I21" s="92" t="str">
        <x:f>IF(QUOTE_STORICO!I21="","",BASELINE_FISSA!$E21*BASELINE_FISSA!$B21+BASELINE_FISSA!$F21*BASELINE_FISSA!$C21+BASELINE_FISSA!$H21*QUOTE_STORICO!I21+BASELINE_FISSA!$G21*BASELINE_FISSA!$D21)</x:f>
      </x:c>
      <x:c r="J21" s="92" t="str">
        <x:f>IF(QUOTE_STORICO!J21="","",BASELINE_FISSA!$E21*BASELINE_FISSA!$B21+BASELINE_FISSA!$F21*BASELINE_FISSA!$C21+BASELINE_FISSA!$H21*QUOTE_STORICO!J21+BASELINE_FISSA!$G21*BASELINE_FISSA!$D21)</x:f>
      </x:c>
      <x:c r="K21" s="92" t="str">
        <x:f>IF(QUOTE_STORICO!K21="","",BASELINE_FISSA!$E21*BASELINE_FISSA!$B21+BASELINE_FISSA!$F21*BASELINE_FISSA!$C21+BASELINE_FISSA!$H21*QUOTE_STORICO!K21+BASELINE_FISSA!$G21*BASELINE_FISSA!$D21)</x:f>
      </x:c>
      <x:c r="L21" s="92" t="str">
        <x:f>IF(QUOTE_STORICO!L21="","",BASELINE_FISSA!$E21*BASELINE_FISSA!$B21+BASELINE_FISSA!$F21*BASELINE_FISSA!$C21+BASELINE_FISSA!$H21*QUOTE_STORICO!L21+BASELINE_FISSA!$G21*BASELINE_FISSA!$D21)</x:f>
      </x:c>
      <x:c r="M21" s="92" t="str">
        <x:f>IF(QUOTE_STORICO!M21="","",BASELINE_FISSA!$E21*BASELINE_FISSA!$B21+BASELINE_FISSA!$F21*BASELINE_FISSA!$C21+BASELINE_FISSA!$H21*QUOTE_STORICO!M21+BASELINE_FISSA!$G21*BASELINE_FISSA!$D21)</x:f>
      </x:c>
      <x:c r="N21" s="92" t="str">
        <x:f>IF(QUOTE_STORICO!N21="","",BASELINE_FISSA!$E21*BASELINE_FISSA!$B21+BASELINE_FISSA!$F21*BASELINE_FISSA!$C21+BASELINE_FISSA!$H21*QUOTE_STORICO!N21+BASELINE_FISSA!$G21*BASELINE_FISSA!$D21)</x:f>
      </x:c>
    </x:row>
    <x:row r="22">
      <x:c r="A22" t="str">
        <x:v>Sicilia</x:v>
      </x:c>
      <x:c r="B22" s="92" t="n">
        <x:f>IF(QUOTE_STORICO!B22="","",BASELINE_FISSA!$E22*BASELINE_FISSA!$B22+BASELINE_FISSA!$F22*BASELINE_FISSA!$C22+BASELINE_FISSA!$H22*QUOTE_STORICO!B22+BASELINE_FISSA!$G22*BASELINE_FISSA!$D22)</x:f>
        <x:v>0.06007059127448411</x:v>
      </x:c>
      <x:c r="C22" s="92" t="str">
        <x:f>IF(QUOTE_STORICO!C22="","",BASELINE_FISSA!$E22*BASELINE_FISSA!$B22+BASELINE_FISSA!$F22*BASELINE_FISSA!$C22+BASELINE_FISSA!$H22*QUOTE_STORICO!C22+BASELINE_FISSA!$G22*BASELINE_FISSA!$D22)</x:f>
      </x:c>
      <x:c r="D22" s="92" t="str">
        <x:f>IF(QUOTE_STORICO!D22="","",BASELINE_FISSA!$E22*BASELINE_FISSA!$B22+BASELINE_FISSA!$F22*BASELINE_FISSA!$C22+BASELINE_FISSA!$H22*QUOTE_STORICO!D22+BASELINE_FISSA!$G22*BASELINE_FISSA!$D22)</x:f>
      </x:c>
      <x:c r="E22" s="92" t="str">
        <x:f>IF(QUOTE_STORICO!E22="","",BASELINE_FISSA!$E22*BASELINE_FISSA!$B22+BASELINE_FISSA!$F22*BASELINE_FISSA!$C22+BASELINE_FISSA!$H22*QUOTE_STORICO!E22+BASELINE_FISSA!$G22*BASELINE_FISSA!$D22)</x:f>
      </x:c>
      <x:c r="F22" s="92" t="str">
        <x:f>IF(QUOTE_STORICO!F22="","",BASELINE_FISSA!$E22*BASELINE_FISSA!$B22+BASELINE_FISSA!$F22*BASELINE_FISSA!$C22+BASELINE_FISSA!$H22*QUOTE_STORICO!F22+BASELINE_FISSA!$G22*BASELINE_FISSA!$D22)</x:f>
      </x:c>
      <x:c r="G22" s="92" t="str">
        <x:f>IF(QUOTE_STORICO!G22="","",BASELINE_FISSA!$E22*BASELINE_FISSA!$B22+BASELINE_FISSA!$F22*BASELINE_FISSA!$C22+BASELINE_FISSA!$H22*QUOTE_STORICO!G22+BASELINE_FISSA!$G22*BASELINE_FISSA!$D22)</x:f>
      </x:c>
      <x:c r="H22" s="92" t="str">
        <x:f>IF(QUOTE_STORICO!H22="","",BASELINE_FISSA!$E22*BASELINE_FISSA!$B22+BASELINE_FISSA!$F22*BASELINE_FISSA!$C22+BASELINE_FISSA!$H22*QUOTE_STORICO!H22+BASELINE_FISSA!$G22*BASELINE_FISSA!$D22)</x:f>
      </x:c>
      <x:c r="I22" s="92" t="str">
        <x:f>IF(QUOTE_STORICO!I22="","",BASELINE_FISSA!$E22*BASELINE_FISSA!$B22+BASELINE_FISSA!$F22*BASELINE_FISSA!$C22+BASELINE_FISSA!$H22*QUOTE_STORICO!I22+BASELINE_FISSA!$G22*BASELINE_FISSA!$D22)</x:f>
      </x:c>
      <x:c r="J22" s="92" t="str">
        <x:f>IF(QUOTE_STORICO!J22="","",BASELINE_FISSA!$E22*BASELINE_FISSA!$B22+BASELINE_FISSA!$F22*BASELINE_FISSA!$C22+BASELINE_FISSA!$H22*QUOTE_STORICO!J22+BASELINE_FISSA!$G22*BASELINE_FISSA!$D22)</x:f>
      </x:c>
      <x:c r="K22" s="92" t="str">
        <x:f>IF(QUOTE_STORICO!K22="","",BASELINE_FISSA!$E22*BASELINE_FISSA!$B22+BASELINE_FISSA!$F22*BASELINE_FISSA!$C22+BASELINE_FISSA!$H22*QUOTE_STORICO!K22+BASELINE_FISSA!$G22*BASELINE_FISSA!$D22)</x:f>
      </x:c>
      <x:c r="L22" s="92" t="str">
        <x:f>IF(QUOTE_STORICO!L22="","",BASELINE_FISSA!$E22*BASELINE_FISSA!$B22+BASELINE_FISSA!$F22*BASELINE_FISSA!$C22+BASELINE_FISSA!$H22*QUOTE_STORICO!L22+BASELINE_FISSA!$G22*BASELINE_FISSA!$D22)</x:f>
      </x:c>
      <x:c r="M22" s="92" t="str">
        <x:f>IF(QUOTE_STORICO!M22="","",BASELINE_FISSA!$E22*BASELINE_FISSA!$B22+BASELINE_FISSA!$F22*BASELINE_FISSA!$C22+BASELINE_FISSA!$H22*QUOTE_STORICO!M22+BASELINE_FISSA!$G22*BASELINE_FISSA!$D22)</x:f>
      </x:c>
      <x:c r="N22" s="92" t="str">
        <x:f>IF(QUOTE_STORICO!N22="","",BASELINE_FISSA!$E22*BASELINE_FISSA!$B22+BASELINE_FISSA!$F22*BASELINE_FISSA!$C22+BASELINE_FISSA!$H22*QUOTE_STORICO!N22+BASELINE_FISSA!$G22*BASELINE_FISSA!$D22)</x:f>
      </x:c>
    </x:row>
    <x:row r="23">
      <x:c r="A23" t="str">
        <x:v>Sardegna</x:v>
      </x:c>
      <x:c r="B23" s="92" t="n">
        <x:f>IF(QUOTE_STORICO!B23="","",BASELINE_FISSA!$E23*BASELINE_FISSA!$B23+BASELINE_FISSA!$F23*BASELINE_FISSA!$C23+BASELINE_FISSA!$H23*QUOTE_STORICO!B23+BASELINE_FISSA!$G23*BASELINE_FISSA!$D23)</x:f>
        <x:v>0.02397080614794898</x:v>
      </x:c>
      <x:c r="C23" s="92" t="str">
        <x:f>IF(QUOTE_STORICO!C23="","",BASELINE_FISSA!$E23*BASELINE_FISSA!$B23+BASELINE_FISSA!$F23*BASELINE_FISSA!$C23+BASELINE_FISSA!$H23*QUOTE_STORICO!C23+BASELINE_FISSA!$G23*BASELINE_FISSA!$D23)</x:f>
      </x:c>
      <x:c r="D23" s="92" t="str">
        <x:f>IF(QUOTE_STORICO!D23="","",BASELINE_FISSA!$E23*BASELINE_FISSA!$B23+BASELINE_FISSA!$F23*BASELINE_FISSA!$C23+BASELINE_FISSA!$H23*QUOTE_STORICO!D23+BASELINE_FISSA!$G23*BASELINE_FISSA!$D23)</x:f>
      </x:c>
      <x:c r="E23" s="92" t="str">
        <x:f>IF(QUOTE_STORICO!E23="","",BASELINE_FISSA!$E23*BASELINE_FISSA!$B23+BASELINE_FISSA!$F23*BASELINE_FISSA!$C23+BASELINE_FISSA!$H23*QUOTE_STORICO!E23+BASELINE_FISSA!$G23*BASELINE_FISSA!$D23)</x:f>
      </x:c>
      <x:c r="F23" s="92" t="str">
        <x:f>IF(QUOTE_STORICO!F23="","",BASELINE_FISSA!$E23*BASELINE_FISSA!$B23+BASELINE_FISSA!$F23*BASELINE_FISSA!$C23+BASELINE_FISSA!$H23*QUOTE_STORICO!F23+BASELINE_FISSA!$G23*BASELINE_FISSA!$D23)</x:f>
      </x:c>
      <x:c r="G23" s="92" t="str">
        <x:f>IF(QUOTE_STORICO!G23="","",BASELINE_FISSA!$E23*BASELINE_FISSA!$B23+BASELINE_FISSA!$F23*BASELINE_FISSA!$C23+BASELINE_FISSA!$H23*QUOTE_STORICO!G23+BASELINE_FISSA!$G23*BASELINE_FISSA!$D23)</x:f>
      </x:c>
      <x:c r="H23" s="92" t="str">
        <x:f>IF(QUOTE_STORICO!H23="","",BASELINE_FISSA!$E23*BASELINE_FISSA!$B23+BASELINE_FISSA!$F23*BASELINE_FISSA!$C23+BASELINE_FISSA!$H23*QUOTE_STORICO!H23+BASELINE_FISSA!$G23*BASELINE_FISSA!$D23)</x:f>
      </x:c>
      <x:c r="I23" s="92" t="str">
        <x:f>IF(QUOTE_STORICO!I23="","",BASELINE_FISSA!$E23*BASELINE_FISSA!$B23+BASELINE_FISSA!$F23*BASELINE_FISSA!$C23+BASELINE_FISSA!$H23*QUOTE_STORICO!I23+BASELINE_FISSA!$G23*BASELINE_FISSA!$D23)</x:f>
      </x:c>
      <x:c r="J23" s="92" t="str">
        <x:f>IF(QUOTE_STORICO!J23="","",BASELINE_FISSA!$E23*BASELINE_FISSA!$B23+BASELINE_FISSA!$F23*BASELINE_FISSA!$C23+BASELINE_FISSA!$H23*QUOTE_STORICO!J23+BASELINE_FISSA!$G23*BASELINE_FISSA!$D23)</x:f>
      </x:c>
      <x:c r="K23" s="92" t="str">
        <x:f>IF(QUOTE_STORICO!K23="","",BASELINE_FISSA!$E23*BASELINE_FISSA!$B23+BASELINE_FISSA!$F23*BASELINE_FISSA!$C23+BASELINE_FISSA!$H23*QUOTE_STORICO!K23+BASELINE_FISSA!$G23*BASELINE_FISSA!$D23)</x:f>
      </x:c>
      <x:c r="L23" s="92" t="str">
        <x:f>IF(QUOTE_STORICO!L23="","",BASELINE_FISSA!$E23*BASELINE_FISSA!$B23+BASELINE_FISSA!$F23*BASELINE_FISSA!$C23+BASELINE_FISSA!$H23*QUOTE_STORICO!L23+BASELINE_FISSA!$G23*BASELINE_FISSA!$D23)</x:f>
      </x:c>
      <x:c r="M23" s="92" t="str">
        <x:f>IF(QUOTE_STORICO!M23="","",BASELINE_FISSA!$E23*BASELINE_FISSA!$B23+BASELINE_FISSA!$F23*BASELINE_FISSA!$C23+BASELINE_FISSA!$H23*QUOTE_STORICO!M23+BASELINE_FISSA!$G23*BASELINE_FISSA!$D23)</x:f>
      </x:c>
      <x:c r="N23" s="92" t="str">
        <x:f>IF(QUOTE_STORICO!N23="","",BASELINE_FISSA!$E23*BASELINE_FISSA!$B23+BASELINE_FISSA!$F23*BASELINE_FISSA!$C23+BASELINE_FISSA!$H23*QUOTE_STORICO!N23+BASELINE_FISSA!$G23*BASELINE_FISSA!$D23)</x:f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9" customHeight="1">
      <x:c r="A1" s="85" t="str">
        <x:v>ENTROPIA SCENARIO MENSILE - contributi regionali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</x:row>
    <x:row r="3">
      <x:c r="A3" s="89" t="str">
        <x:v>Regione</x:v>
      </x:c>
      <x:c r="B3" s="89" t="str">
        <x:v>10/2026</x:v>
      </x:c>
      <x:c r="C3" s="89" t="str">
        <x:v>11/2026</x:v>
      </x:c>
      <x:c r="D3" s="89" t="str">
        <x:v>12/2026</x:v>
      </x:c>
      <x:c r="E3" s="89" t="str">
        <x:v>01/2027</x:v>
      </x:c>
      <x:c r="F3" s="89" t="str">
        <x:v>02/2027</x:v>
      </x:c>
      <x:c r="G3" s="89" t="str">
        <x:v>03/2027</x:v>
      </x:c>
      <x:c r="H3" s="89" t="str">
        <x:v>04/2027</x:v>
      </x:c>
      <x:c r="I3" s="89" t="str">
        <x:v>05/2027</x:v>
      </x:c>
      <x:c r="J3" s="89" t="str">
        <x:v>06/2027</x:v>
      </x:c>
      <x:c r="K3" s="89" t="str">
        <x:v>07/2027</x:v>
      </x:c>
      <x:c r="L3" s="89" t="str">
        <x:v>08/2027</x:v>
      </x:c>
      <x:c r="M3" s="89" t="str">
        <x:v>09/2027</x:v>
      </x:c>
      <x:c r="N3" s="89" t="str">
        <x:v>10/2027</x:v>
      </x:c>
    </x:row>
    <x:row r="4">
      <x:c r="A4" t="str">
        <x:v>Piemonte</x:v>
      </x:c>
      <x:c r="B4" s="92" t="n">
        <x:f>IF(P_STORICO!B4="","",IF(P_STORICO!B4&gt;0,-P_STORICO!B4*LN(P_STORICO!B4),0))</x:f>
        <x:v>0.21001317632003647</x:v>
      </x:c>
      <x:c r="C4" s="92" t="str">
        <x:f>IF(P_STORICO!C4="","",IF(P_STORICO!C4&gt;0,-P_STORICO!C4*LN(P_STORICO!C4),0))</x:f>
      </x:c>
      <x:c r="D4" s="92" t="str">
        <x:f>IF(P_STORICO!D4="","",IF(P_STORICO!D4&gt;0,-P_STORICO!D4*LN(P_STORICO!D4),0))</x:f>
      </x:c>
      <x:c r="E4" s="92" t="str">
        <x:f>IF(P_STORICO!E4="","",IF(P_STORICO!E4&gt;0,-P_STORICO!E4*LN(P_STORICO!E4),0))</x:f>
      </x:c>
      <x:c r="F4" s="92" t="str">
        <x:f>IF(P_STORICO!F4="","",IF(P_STORICO!F4&gt;0,-P_STORICO!F4*LN(P_STORICO!F4),0))</x:f>
      </x:c>
      <x:c r="G4" s="92" t="str">
        <x:f>IF(P_STORICO!G4="","",IF(P_STORICO!G4&gt;0,-P_STORICO!G4*LN(P_STORICO!G4),0))</x:f>
      </x:c>
      <x:c r="H4" s="92" t="str">
        <x:f>IF(P_STORICO!H4="","",IF(P_STORICO!H4&gt;0,-P_STORICO!H4*LN(P_STORICO!H4),0))</x:f>
      </x:c>
      <x:c r="I4" s="92" t="str">
        <x:f>IF(P_STORICO!I4="","",IF(P_STORICO!I4&gt;0,-P_STORICO!I4*LN(P_STORICO!I4),0))</x:f>
      </x:c>
      <x:c r="J4" s="92" t="str">
        <x:f>IF(P_STORICO!J4="","",IF(P_STORICO!J4&gt;0,-P_STORICO!J4*LN(P_STORICO!J4),0))</x:f>
      </x:c>
      <x:c r="K4" s="92" t="str">
        <x:f>IF(P_STORICO!K4="","",IF(P_STORICO!K4&gt;0,-P_STORICO!K4*LN(P_STORICO!K4),0))</x:f>
      </x:c>
      <x:c r="L4" s="92" t="str">
        <x:f>IF(P_STORICO!L4="","",IF(P_STORICO!L4&gt;0,-P_STORICO!L4*LN(P_STORICO!L4),0))</x:f>
      </x:c>
      <x:c r="M4" s="92" t="str">
        <x:f>IF(P_STORICO!M4="","",IF(P_STORICO!M4&gt;0,-P_STORICO!M4*LN(P_STORICO!M4),0))</x:f>
      </x:c>
      <x:c r="N4" s="92" t="str">
        <x:f>IF(P_STORICO!N4="","",IF(P_STORICO!N4&gt;0,-P_STORICO!N4*LN(P_STORICO!N4),0))</x:f>
      </x:c>
    </x:row>
    <x:row r="5">
      <x:c r="A5" t="str">
        <x:v>Valle d'Aosta</x:v>
      </x:c>
      <x:c r="B5" s="92" t="n">
        <x:f>IF(P_STORICO!B5="","",IF(P_STORICO!B5&gt;0,-P_STORICO!B5*LN(P_STORICO!B5),0))</x:f>
        <x:v>0.009602497528004007</x:v>
      </x:c>
      <x:c r="C5" s="92" t="str">
        <x:f>IF(P_STORICO!C5="","",IF(P_STORICO!C5&gt;0,-P_STORICO!C5*LN(P_STORICO!C5),0))</x:f>
      </x:c>
      <x:c r="D5" s="92" t="str">
        <x:f>IF(P_STORICO!D5="","",IF(P_STORICO!D5&gt;0,-P_STORICO!D5*LN(P_STORICO!D5),0))</x:f>
      </x:c>
      <x:c r="E5" s="92" t="str">
        <x:f>IF(P_STORICO!E5="","",IF(P_STORICO!E5&gt;0,-P_STORICO!E5*LN(P_STORICO!E5),0))</x:f>
      </x:c>
      <x:c r="F5" s="92" t="str">
        <x:f>IF(P_STORICO!F5="","",IF(P_STORICO!F5&gt;0,-P_STORICO!F5*LN(P_STORICO!F5),0))</x:f>
      </x:c>
      <x:c r="G5" s="92" t="str">
        <x:f>IF(P_STORICO!G5="","",IF(P_STORICO!G5&gt;0,-P_STORICO!G5*LN(P_STORICO!G5),0))</x:f>
      </x:c>
      <x:c r="H5" s="92" t="str">
        <x:f>IF(P_STORICO!H5="","",IF(P_STORICO!H5&gt;0,-P_STORICO!H5*LN(P_STORICO!H5),0))</x:f>
      </x:c>
      <x:c r="I5" s="92" t="str">
        <x:f>IF(P_STORICO!I5="","",IF(P_STORICO!I5&gt;0,-P_STORICO!I5*LN(P_STORICO!I5),0))</x:f>
      </x:c>
      <x:c r="J5" s="92" t="str">
        <x:f>IF(P_STORICO!J5="","",IF(P_STORICO!J5&gt;0,-P_STORICO!J5*LN(P_STORICO!J5),0))</x:f>
      </x:c>
      <x:c r="K5" s="92" t="str">
        <x:f>IF(P_STORICO!K5="","",IF(P_STORICO!K5&gt;0,-P_STORICO!K5*LN(P_STORICO!K5),0))</x:f>
      </x:c>
      <x:c r="L5" s="92" t="str">
        <x:f>IF(P_STORICO!L5="","",IF(P_STORICO!L5&gt;0,-P_STORICO!L5*LN(P_STORICO!L5),0))</x:f>
      </x:c>
      <x:c r="M5" s="92" t="str">
        <x:f>IF(P_STORICO!M5="","",IF(P_STORICO!M5&gt;0,-P_STORICO!M5*LN(P_STORICO!M5),0))</x:f>
      </x:c>
      <x:c r="N5" s="92" t="str">
        <x:f>IF(P_STORICO!N5="","",IF(P_STORICO!N5&gt;0,-P_STORICO!N5*LN(P_STORICO!N5),0))</x:f>
      </x:c>
    </x:row>
    <x:row r="6">
      <x:c r="A6" t="str">
        <x:v>Liguria</x:v>
      </x:c>
      <x:c r="B6" s="92" t="n">
        <x:f>IF(P_STORICO!B6="","",IF(P_STORICO!B6&gt;0,-P_STORICO!B6*LN(P_STORICO!B6),0))</x:f>
        <x:v>0.1041685980549822</x:v>
      </x:c>
      <x:c r="C6" s="92" t="str">
        <x:f>IF(P_STORICO!C6="","",IF(P_STORICO!C6&gt;0,-P_STORICO!C6*LN(P_STORICO!C6),0))</x:f>
      </x:c>
      <x:c r="D6" s="92" t="str">
        <x:f>IF(P_STORICO!D6="","",IF(P_STORICO!D6&gt;0,-P_STORICO!D6*LN(P_STORICO!D6),0))</x:f>
      </x:c>
      <x:c r="E6" s="92" t="str">
        <x:f>IF(P_STORICO!E6="","",IF(P_STORICO!E6&gt;0,-P_STORICO!E6*LN(P_STORICO!E6),0))</x:f>
      </x:c>
      <x:c r="F6" s="92" t="str">
        <x:f>IF(P_STORICO!F6="","",IF(P_STORICO!F6&gt;0,-P_STORICO!F6*LN(P_STORICO!F6),0))</x:f>
      </x:c>
      <x:c r="G6" s="92" t="str">
        <x:f>IF(P_STORICO!G6="","",IF(P_STORICO!G6&gt;0,-P_STORICO!G6*LN(P_STORICO!G6),0))</x:f>
      </x:c>
      <x:c r="H6" s="92" t="str">
        <x:f>IF(P_STORICO!H6="","",IF(P_STORICO!H6&gt;0,-P_STORICO!H6*LN(P_STORICO!H6),0))</x:f>
      </x:c>
      <x:c r="I6" s="92" t="str">
        <x:f>IF(P_STORICO!I6="","",IF(P_STORICO!I6&gt;0,-P_STORICO!I6*LN(P_STORICO!I6),0))</x:f>
      </x:c>
      <x:c r="J6" s="92" t="str">
        <x:f>IF(P_STORICO!J6="","",IF(P_STORICO!J6&gt;0,-P_STORICO!J6*LN(P_STORICO!J6),0))</x:f>
      </x:c>
      <x:c r="K6" s="92" t="str">
        <x:f>IF(P_STORICO!K6="","",IF(P_STORICO!K6&gt;0,-P_STORICO!K6*LN(P_STORICO!K6),0))</x:f>
      </x:c>
      <x:c r="L6" s="92" t="str">
        <x:f>IF(P_STORICO!L6="","",IF(P_STORICO!L6&gt;0,-P_STORICO!L6*LN(P_STORICO!L6),0))</x:f>
      </x:c>
      <x:c r="M6" s="92" t="str">
        <x:f>IF(P_STORICO!M6="","",IF(P_STORICO!M6&gt;0,-P_STORICO!M6*LN(P_STORICO!M6),0))</x:f>
      </x:c>
      <x:c r="N6" s="92" t="str">
        <x:f>IF(P_STORICO!N6="","",IF(P_STORICO!N6&gt;0,-P_STORICO!N6*LN(P_STORICO!N6),0))</x:f>
      </x:c>
    </x:row>
    <x:row r="7">
      <x:c r="A7" t="str">
        <x:v>Lombardia</x:v>
      </x:c>
      <x:c r="B7" s="92" t="n">
        <x:f>IF(P_STORICO!B7="","",IF(P_STORICO!B7&gt;0,-P_STORICO!B7*LN(P_STORICO!B7),0))</x:f>
        <x:v>0.31627195747784326</x:v>
      </x:c>
      <x:c r="C7" s="92" t="str">
        <x:f>IF(P_STORICO!C7="","",IF(P_STORICO!C7&gt;0,-P_STORICO!C7*LN(P_STORICO!C7),0))</x:f>
      </x:c>
      <x:c r="D7" s="92" t="str">
        <x:f>IF(P_STORICO!D7="","",IF(P_STORICO!D7&gt;0,-P_STORICO!D7*LN(P_STORICO!D7),0))</x:f>
      </x:c>
      <x:c r="E7" s="92" t="str">
        <x:f>IF(P_STORICO!E7="","",IF(P_STORICO!E7&gt;0,-P_STORICO!E7*LN(P_STORICO!E7),0))</x:f>
      </x:c>
      <x:c r="F7" s="92" t="str">
        <x:f>IF(P_STORICO!F7="","",IF(P_STORICO!F7&gt;0,-P_STORICO!F7*LN(P_STORICO!F7),0))</x:f>
      </x:c>
      <x:c r="G7" s="92" t="str">
        <x:f>IF(P_STORICO!G7="","",IF(P_STORICO!G7&gt;0,-P_STORICO!G7*LN(P_STORICO!G7),0))</x:f>
      </x:c>
      <x:c r="H7" s="92" t="str">
        <x:f>IF(P_STORICO!H7="","",IF(P_STORICO!H7&gt;0,-P_STORICO!H7*LN(P_STORICO!H7),0))</x:f>
      </x:c>
      <x:c r="I7" s="92" t="str">
        <x:f>IF(P_STORICO!I7="","",IF(P_STORICO!I7&gt;0,-P_STORICO!I7*LN(P_STORICO!I7),0))</x:f>
      </x:c>
      <x:c r="J7" s="92" t="str">
        <x:f>IF(P_STORICO!J7="","",IF(P_STORICO!J7&gt;0,-P_STORICO!J7*LN(P_STORICO!J7),0))</x:f>
      </x:c>
      <x:c r="K7" s="92" t="str">
        <x:f>IF(P_STORICO!K7="","",IF(P_STORICO!K7&gt;0,-P_STORICO!K7*LN(P_STORICO!K7),0))</x:f>
      </x:c>
      <x:c r="L7" s="92" t="str">
        <x:f>IF(P_STORICO!L7="","",IF(P_STORICO!L7&gt;0,-P_STORICO!L7*LN(P_STORICO!L7),0))</x:f>
      </x:c>
      <x:c r="M7" s="92" t="str">
        <x:f>IF(P_STORICO!M7="","",IF(P_STORICO!M7&gt;0,-P_STORICO!M7*LN(P_STORICO!M7),0))</x:f>
      </x:c>
      <x:c r="N7" s="92" t="str">
        <x:f>IF(P_STORICO!N7="","",IF(P_STORICO!N7&gt;0,-P_STORICO!N7*LN(P_STORICO!N7),0))</x:f>
      </x:c>
    </x:row>
    <x:row r="8">
      <x:c r="A8" t="str">
        <x:v>Trentino-Alto Adige</x:v>
      </x:c>
      <x:c r="B8" s="92" t="n">
        <x:f>IF(P_STORICO!B8="","",IF(P_STORICO!B8&gt;0,-P_STORICO!B8*LN(P_STORICO!B8),0))</x:f>
        <x:v>0.06484032075667147</x:v>
      </x:c>
      <x:c r="C8" s="92" t="str">
        <x:f>IF(P_STORICO!C8="","",IF(P_STORICO!C8&gt;0,-P_STORICO!C8*LN(P_STORICO!C8),0))</x:f>
      </x:c>
      <x:c r="D8" s="92" t="str">
        <x:f>IF(P_STORICO!D8="","",IF(P_STORICO!D8&gt;0,-P_STORICO!D8*LN(P_STORICO!D8),0))</x:f>
      </x:c>
      <x:c r="E8" s="92" t="str">
        <x:f>IF(P_STORICO!E8="","",IF(P_STORICO!E8&gt;0,-P_STORICO!E8*LN(P_STORICO!E8),0))</x:f>
      </x:c>
      <x:c r="F8" s="92" t="str">
        <x:f>IF(P_STORICO!F8="","",IF(P_STORICO!F8&gt;0,-P_STORICO!F8*LN(P_STORICO!F8),0))</x:f>
      </x:c>
      <x:c r="G8" s="92" t="str">
        <x:f>IF(P_STORICO!G8="","",IF(P_STORICO!G8&gt;0,-P_STORICO!G8*LN(P_STORICO!G8),0))</x:f>
      </x:c>
      <x:c r="H8" s="92" t="str">
        <x:f>IF(P_STORICO!H8="","",IF(P_STORICO!H8&gt;0,-P_STORICO!H8*LN(P_STORICO!H8),0))</x:f>
      </x:c>
      <x:c r="I8" s="92" t="str">
        <x:f>IF(P_STORICO!I8="","",IF(P_STORICO!I8&gt;0,-P_STORICO!I8*LN(P_STORICO!I8),0))</x:f>
      </x:c>
      <x:c r="J8" s="92" t="str">
        <x:f>IF(P_STORICO!J8="","",IF(P_STORICO!J8&gt;0,-P_STORICO!J8*LN(P_STORICO!J8),0))</x:f>
      </x:c>
      <x:c r="K8" s="92" t="str">
        <x:f>IF(P_STORICO!K8="","",IF(P_STORICO!K8&gt;0,-P_STORICO!K8*LN(P_STORICO!K8),0))</x:f>
      </x:c>
      <x:c r="L8" s="92" t="str">
        <x:f>IF(P_STORICO!L8="","",IF(P_STORICO!L8&gt;0,-P_STORICO!L8*LN(P_STORICO!L8),0))</x:f>
      </x:c>
      <x:c r="M8" s="92" t="str">
        <x:f>IF(P_STORICO!M8="","",IF(P_STORICO!M8&gt;0,-P_STORICO!M8*LN(P_STORICO!M8),0))</x:f>
      </x:c>
      <x:c r="N8" s="92" t="str">
        <x:f>IF(P_STORICO!N8="","",IF(P_STORICO!N8&gt;0,-P_STORICO!N8*LN(P_STORICO!N8),0))</x:f>
      </x:c>
    </x:row>
    <x:row r="9">
      <x:c r="A9" t="str">
        <x:v>Veneto</x:v>
      </x:c>
      <x:c r="B9" s="92" t="n">
        <x:f>IF(P_STORICO!B9="","",IF(P_STORICO!B9&gt;0,-P_STORICO!B9*LN(P_STORICO!B9),0))</x:f>
        <x:v>0.24686187456480457</x:v>
      </x:c>
      <x:c r="C9" s="92" t="str">
        <x:f>IF(P_STORICO!C9="","",IF(P_STORICO!C9&gt;0,-P_STORICO!C9*LN(P_STORICO!C9),0))</x:f>
      </x:c>
      <x:c r="D9" s="92" t="str">
        <x:f>IF(P_STORICO!D9="","",IF(P_STORICO!D9&gt;0,-P_STORICO!D9*LN(P_STORICO!D9),0))</x:f>
      </x:c>
      <x:c r="E9" s="92" t="str">
        <x:f>IF(P_STORICO!E9="","",IF(P_STORICO!E9&gt;0,-P_STORICO!E9*LN(P_STORICO!E9),0))</x:f>
      </x:c>
      <x:c r="F9" s="92" t="str">
        <x:f>IF(P_STORICO!F9="","",IF(P_STORICO!F9&gt;0,-P_STORICO!F9*LN(P_STORICO!F9),0))</x:f>
      </x:c>
      <x:c r="G9" s="92" t="str">
        <x:f>IF(P_STORICO!G9="","",IF(P_STORICO!G9&gt;0,-P_STORICO!G9*LN(P_STORICO!G9),0))</x:f>
      </x:c>
      <x:c r="H9" s="92" t="str">
        <x:f>IF(P_STORICO!H9="","",IF(P_STORICO!H9&gt;0,-P_STORICO!H9*LN(P_STORICO!H9),0))</x:f>
      </x:c>
      <x:c r="I9" s="92" t="str">
        <x:f>IF(P_STORICO!I9="","",IF(P_STORICO!I9&gt;0,-P_STORICO!I9*LN(P_STORICO!I9),0))</x:f>
      </x:c>
      <x:c r="J9" s="92" t="str">
        <x:f>IF(P_STORICO!J9="","",IF(P_STORICO!J9&gt;0,-P_STORICO!J9*LN(P_STORICO!J9),0))</x:f>
      </x:c>
      <x:c r="K9" s="92" t="str">
        <x:f>IF(P_STORICO!K9="","",IF(P_STORICO!K9&gt;0,-P_STORICO!K9*LN(P_STORICO!K9),0))</x:f>
      </x:c>
      <x:c r="L9" s="92" t="str">
        <x:f>IF(P_STORICO!L9="","",IF(P_STORICO!L9&gt;0,-P_STORICO!L9*LN(P_STORICO!L9),0))</x:f>
      </x:c>
      <x:c r="M9" s="92" t="str">
        <x:f>IF(P_STORICO!M9="","",IF(P_STORICO!M9&gt;0,-P_STORICO!M9*LN(P_STORICO!M9),0))</x:f>
      </x:c>
      <x:c r="N9" s="92" t="str">
        <x:f>IF(P_STORICO!N9="","",IF(P_STORICO!N9&gt;0,-P_STORICO!N9*LN(P_STORICO!N9),0))</x:f>
      </x:c>
    </x:row>
    <x:row r="10">
      <x:c r="A10" t="str">
        <x:v>Friuli-Venezia Giulia</x:v>
      </x:c>
      <x:c r="B10" s="92" t="n">
        <x:f>IF(P_STORICO!B10="","",IF(P_STORICO!B10&gt;0,-P_STORICO!B10*LN(P_STORICO!B10),0))</x:f>
        <x:v>0.09323367770696864</x:v>
      </x:c>
      <x:c r="C10" s="92" t="str">
        <x:f>IF(P_STORICO!C10="","",IF(P_STORICO!C10&gt;0,-P_STORICO!C10*LN(P_STORICO!C10),0))</x:f>
      </x:c>
      <x:c r="D10" s="92" t="str">
        <x:f>IF(P_STORICO!D10="","",IF(P_STORICO!D10&gt;0,-P_STORICO!D10*LN(P_STORICO!D10),0))</x:f>
      </x:c>
      <x:c r="E10" s="92" t="str">
        <x:f>IF(P_STORICO!E10="","",IF(P_STORICO!E10&gt;0,-P_STORICO!E10*LN(P_STORICO!E10),0))</x:f>
      </x:c>
      <x:c r="F10" s="92" t="str">
        <x:f>IF(P_STORICO!F10="","",IF(P_STORICO!F10&gt;0,-P_STORICO!F10*LN(P_STORICO!F10),0))</x:f>
      </x:c>
      <x:c r="G10" s="92" t="str">
        <x:f>IF(P_STORICO!G10="","",IF(P_STORICO!G10&gt;0,-P_STORICO!G10*LN(P_STORICO!G10),0))</x:f>
      </x:c>
      <x:c r="H10" s="92" t="str">
        <x:f>IF(P_STORICO!H10="","",IF(P_STORICO!H10&gt;0,-P_STORICO!H10*LN(P_STORICO!H10),0))</x:f>
      </x:c>
      <x:c r="I10" s="92" t="str">
        <x:f>IF(P_STORICO!I10="","",IF(P_STORICO!I10&gt;0,-P_STORICO!I10*LN(P_STORICO!I10),0))</x:f>
      </x:c>
      <x:c r="J10" s="92" t="str">
        <x:f>IF(P_STORICO!J10="","",IF(P_STORICO!J10&gt;0,-P_STORICO!J10*LN(P_STORICO!J10),0))</x:f>
      </x:c>
      <x:c r="K10" s="92" t="str">
        <x:f>IF(P_STORICO!K10="","",IF(P_STORICO!K10&gt;0,-P_STORICO!K10*LN(P_STORICO!K10),0))</x:f>
      </x:c>
      <x:c r="L10" s="92" t="str">
        <x:f>IF(P_STORICO!L10="","",IF(P_STORICO!L10&gt;0,-P_STORICO!L10*LN(P_STORICO!L10),0))</x:f>
      </x:c>
      <x:c r="M10" s="92" t="str">
        <x:f>IF(P_STORICO!M10="","",IF(P_STORICO!M10&gt;0,-P_STORICO!M10*LN(P_STORICO!M10),0))</x:f>
      </x:c>
      <x:c r="N10" s="92" t="str">
        <x:f>IF(P_STORICO!N10="","",IF(P_STORICO!N10&gt;0,-P_STORICO!N10*LN(P_STORICO!N10),0))</x:f>
      </x:c>
    </x:row>
    <x:row r="11">
      <x:c r="A11" t="str">
        <x:v>Emilia-Romagna</x:v>
      </x:c>
      <x:c r="B11" s="92" t="n">
        <x:f>IF(P_STORICO!B11="","",IF(P_STORICO!B11&gt;0,-P_STORICO!B11*LN(P_STORICO!B11),0))</x:f>
        <x:v>0.18080080911660545</x:v>
      </x:c>
      <x:c r="C11" s="92" t="str">
        <x:f>IF(P_STORICO!C11="","",IF(P_STORICO!C11&gt;0,-P_STORICO!C11*LN(P_STORICO!C11),0))</x:f>
      </x:c>
      <x:c r="D11" s="92" t="str">
        <x:f>IF(P_STORICO!D11="","",IF(P_STORICO!D11&gt;0,-P_STORICO!D11*LN(P_STORICO!D11),0))</x:f>
      </x:c>
      <x:c r="E11" s="92" t="str">
        <x:f>IF(P_STORICO!E11="","",IF(P_STORICO!E11&gt;0,-P_STORICO!E11*LN(P_STORICO!E11),0))</x:f>
      </x:c>
      <x:c r="F11" s="92" t="str">
        <x:f>IF(P_STORICO!F11="","",IF(P_STORICO!F11&gt;0,-P_STORICO!F11*LN(P_STORICO!F11),0))</x:f>
      </x:c>
      <x:c r="G11" s="92" t="str">
        <x:f>IF(P_STORICO!G11="","",IF(P_STORICO!G11&gt;0,-P_STORICO!G11*LN(P_STORICO!G11),0))</x:f>
      </x:c>
      <x:c r="H11" s="92" t="str">
        <x:f>IF(P_STORICO!H11="","",IF(P_STORICO!H11&gt;0,-P_STORICO!H11*LN(P_STORICO!H11),0))</x:f>
      </x:c>
      <x:c r="I11" s="92" t="str">
        <x:f>IF(P_STORICO!I11="","",IF(P_STORICO!I11&gt;0,-P_STORICO!I11*LN(P_STORICO!I11),0))</x:f>
      </x:c>
      <x:c r="J11" s="92" t="str">
        <x:f>IF(P_STORICO!J11="","",IF(P_STORICO!J11&gt;0,-P_STORICO!J11*LN(P_STORICO!J11),0))</x:f>
      </x:c>
      <x:c r="K11" s="92" t="str">
        <x:f>IF(P_STORICO!K11="","",IF(P_STORICO!K11&gt;0,-P_STORICO!K11*LN(P_STORICO!K11),0))</x:f>
      </x:c>
      <x:c r="L11" s="92" t="str">
        <x:f>IF(P_STORICO!L11="","",IF(P_STORICO!L11&gt;0,-P_STORICO!L11*LN(P_STORICO!L11),0))</x:f>
      </x:c>
      <x:c r="M11" s="92" t="str">
        <x:f>IF(P_STORICO!M11="","",IF(P_STORICO!M11&gt;0,-P_STORICO!M11*LN(P_STORICO!M11),0))</x:f>
      </x:c>
      <x:c r="N11" s="92" t="str">
        <x:f>IF(P_STORICO!N11="","",IF(P_STORICO!N11&gt;0,-P_STORICO!N11*LN(P_STORICO!N11),0))</x:f>
      </x:c>
    </x:row>
    <x:row r="12">
      <x:c r="A12" t="str">
        <x:v>Toscana</x:v>
      </x:c>
      <x:c r="B12" s="92" t="n">
        <x:f>IF(P_STORICO!B12="","",IF(P_STORICO!B12&gt;0,-P_STORICO!B12*LN(P_STORICO!B12),0))</x:f>
        <x:v>0.17332451249701736</x:v>
      </x:c>
      <x:c r="C12" s="92" t="str">
        <x:f>IF(P_STORICO!C12="","",IF(P_STORICO!C12&gt;0,-P_STORICO!C12*LN(P_STORICO!C12),0))</x:f>
      </x:c>
      <x:c r="D12" s="92" t="str">
        <x:f>IF(P_STORICO!D12="","",IF(P_STORICO!D12&gt;0,-P_STORICO!D12*LN(P_STORICO!D12),0))</x:f>
      </x:c>
      <x:c r="E12" s="92" t="str">
        <x:f>IF(P_STORICO!E12="","",IF(P_STORICO!E12&gt;0,-P_STORICO!E12*LN(P_STORICO!E12),0))</x:f>
      </x:c>
      <x:c r="F12" s="92" t="str">
        <x:f>IF(P_STORICO!F12="","",IF(P_STORICO!F12&gt;0,-P_STORICO!F12*LN(P_STORICO!F12),0))</x:f>
      </x:c>
      <x:c r="G12" s="92" t="str">
        <x:f>IF(P_STORICO!G12="","",IF(P_STORICO!G12&gt;0,-P_STORICO!G12*LN(P_STORICO!G12),0))</x:f>
      </x:c>
      <x:c r="H12" s="92" t="str">
        <x:f>IF(P_STORICO!H12="","",IF(P_STORICO!H12&gt;0,-P_STORICO!H12*LN(P_STORICO!H12),0))</x:f>
      </x:c>
      <x:c r="I12" s="92" t="str">
        <x:f>IF(P_STORICO!I12="","",IF(P_STORICO!I12&gt;0,-P_STORICO!I12*LN(P_STORICO!I12),0))</x:f>
      </x:c>
      <x:c r="J12" s="92" t="str">
        <x:f>IF(P_STORICO!J12="","",IF(P_STORICO!J12&gt;0,-P_STORICO!J12*LN(P_STORICO!J12),0))</x:f>
      </x:c>
      <x:c r="K12" s="92" t="str">
        <x:f>IF(P_STORICO!K12="","",IF(P_STORICO!K12&gt;0,-P_STORICO!K12*LN(P_STORICO!K12),0))</x:f>
      </x:c>
      <x:c r="L12" s="92" t="str">
        <x:f>IF(P_STORICO!L12="","",IF(P_STORICO!L12&gt;0,-P_STORICO!L12*LN(P_STORICO!L12),0))</x:f>
      </x:c>
      <x:c r="M12" s="92" t="str">
        <x:f>IF(P_STORICO!M12="","",IF(P_STORICO!M12&gt;0,-P_STORICO!M12*LN(P_STORICO!M12),0))</x:f>
      </x:c>
      <x:c r="N12" s="92" t="str">
        <x:f>IF(P_STORICO!N12="","",IF(P_STORICO!N12&gt;0,-P_STORICO!N12*LN(P_STORICO!N12),0))</x:f>
      </x:c>
    </x:row>
    <x:row r="13">
      <x:c r="A13" t="str">
        <x:v>Umbria</x:v>
      </x:c>
      <x:c r="B13" s="92" t="n">
        <x:f>IF(P_STORICO!B13="","",IF(P_STORICO!B13&gt;0,-P_STORICO!B13*LN(P_STORICO!B13),0))</x:f>
        <x:v>0.05571449627119154</x:v>
      </x:c>
      <x:c r="C13" s="92" t="str">
        <x:f>IF(P_STORICO!C13="","",IF(P_STORICO!C13&gt;0,-P_STORICO!C13*LN(P_STORICO!C13),0))</x:f>
      </x:c>
      <x:c r="D13" s="92" t="str">
        <x:f>IF(P_STORICO!D13="","",IF(P_STORICO!D13&gt;0,-P_STORICO!D13*LN(P_STORICO!D13),0))</x:f>
      </x:c>
      <x:c r="E13" s="92" t="str">
        <x:f>IF(P_STORICO!E13="","",IF(P_STORICO!E13&gt;0,-P_STORICO!E13*LN(P_STORICO!E13),0))</x:f>
      </x:c>
      <x:c r="F13" s="92" t="str">
        <x:f>IF(P_STORICO!F13="","",IF(P_STORICO!F13&gt;0,-P_STORICO!F13*LN(P_STORICO!F13),0))</x:f>
      </x:c>
      <x:c r="G13" s="92" t="str">
        <x:f>IF(P_STORICO!G13="","",IF(P_STORICO!G13&gt;0,-P_STORICO!G13*LN(P_STORICO!G13),0))</x:f>
      </x:c>
      <x:c r="H13" s="92" t="str">
        <x:f>IF(P_STORICO!H13="","",IF(P_STORICO!H13&gt;0,-P_STORICO!H13*LN(P_STORICO!H13),0))</x:f>
      </x:c>
      <x:c r="I13" s="92" t="str">
        <x:f>IF(P_STORICO!I13="","",IF(P_STORICO!I13&gt;0,-P_STORICO!I13*LN(P_STORICO!I13),0))</x:f>
      </x:c>
      <x:c r="J13" s="92" t="str">
        <x:f>IF(P_STORICO!J13="","",IF(P_STORICO!J13&gt;0,-P_STORICO!J13*LN(P_STORICO!J13),0))</x:f>
      </x:c>
      <x:c r="K13" s="92" t="str">
        <x:f>IF(P_STORICO!K13="","",IF(P_STORICO!K13&gt;0,-P_STORICO!K13*LN(P_STORICO!K13),0))</x:f>
      </x:c>
      <x:c r="L13" s="92" t="str">
        <x:f>IF(P_STORICO!L13="","",IF(P_STORICO!L13&gt;0,-P_STORICO!L13*LN(P_STORICO!L13),0))</x:f>
      </x:c>
      <x:c r="M13" s="92" t="str">
        <x:f>IF(P_STORICO!M13="","",IF(P_STORICO!M13&gt;0,-P_STORICO!M13*LN(P_STORICO!M13),0))</x:f>
      </x:c>
      <x:c r="N13" s="92" t="str">
        <x:f>IF(P_STORICO!N13="","",IF(P_STORICO!N13&gt;0,-P_STORICO!N13*LN(P_STORICO!N13),0))</x:f>
      </x:c>
    </x:row>
    <x:row r="14">
      <x:c r="A14" t="str">
        <x:v>Marche</x:v>
      </x:c>
      <x:c r="B14" s="92" t="n">
        <x:f>IF(P_STORICO!B14="","",IF(P_STORICO!B14&gt;0,-P_STORICO!B14*LN(P_STORICO!B14),0))</x:f>
        <x:v>0.09846906641022019</x:v>
      </x:c>
      <x:c r="C14" s="92" t="str">
        <x:f>IF(P_STORICO!C14="","",IF(P_STORICO!C14&gt;0,-P_STORICO!C14*LN(P_STORICO!C14),0))</x:f>
      </x:c>
      <x:c r="D14" s="92" t="str">
        <x:f>IF(P_STORICO!D14="","",IF(P_STORICO!D14&gt;0,-P_STORICO!D14*LN(P_STORICO!D14),0))</x:f>
      </x:c>
      <x:c r="E14" s="92" t="str">
        <x:f>IF(P_STORICO!E14="","",IF(P_STORICO!E14&gt;0,-P_STORICO!E14*LN(P_STORICO!E14),0))</x:f>
      </x:c>
      <x:c r="F14" s="92" t="str">
        <x:f>IF(P_STORICO!F14="","",IF(P_STORICO!F14&gt;0,-P_STORICO!F14*LN(P_STORICO!F14),0))</x:f>
      </x:c>
      <x:c r="G14" s="92" t="str">
        <x:f>IF(P_STORICO!G14="","",IF(P_STORICO!G14&gt;0,-P_STORICO!G14*LN(P_STORICO!G14),0))</x:f>
      </x:c>
      <x:c r="H14" s="92" t="str">
        <x:f>IF(P_STORICO!H14="","",IF(P_STORICO!H14&gt;0,-P_STORICO!H14*LN(P_STORICO!H14),0))</x:f>
      </x:c>
      <x:c r="I14" s="92" t="str">
        <x:f>IF(P_STORICO!I14="","",IF(P_STORICO!I14&gt;0,-P_STORICO!I14*LN(P_STORICO!I14),0))</x:f>
      </x:c>
      <x:c r="J14" s="92" t="str">
        <x:f>IF(P_STORICO!J14="","",IF(P_STORICO!J14&gt;0,-P_STORICO!J14*LN(P_STORICO!J14),0))</x:f>
      </x:c>
      <x:c r="K14" s="92" t="str">
        <x:f>IF(P_STORICO!K14="","",IF(P_STORICO!K14&gt;0,-P_STORICO!K14*LN(P_STORICO!K14),0))</x:f>
      </x:c>
      <x:c r="L14" s="92" t="str">
        <x:f>IF(P_STORICO!L14="","",IF(P_STORICO!L14&gt;0,-P_STORICO!L14*LN(P_STORICO!L14),0))</x:f>
      </x:c>
      <x:c r="M14" s="92" t="str">
        <x:f>IF(P_STORICO!M14="","",IF(P_STORICO!M14&gt;0,-P_STORICO!M14*LN(P_STORICO!M14),0))</x:f>
      </x:c>
      <x:c r="N14" s="92" t="str">
        <x:f>IF(P_STORICO!N14="","",IF(P_STORICO!N14&gt;0,-P_STORICO!N14*LN(P_STORICO!N14),0))</x:f>
      </x:c>
    </x:row>
    <x:row r="15">
      <x:c r="A15" t="str">
        <x:v>Lazio</x:v>
      </x:c>
      <x:c r="B15" s="92" t="n">
        <x:f>IF(P_STORICO!B15="","",IF(P_STORICO!B15&gt;0,-P_STORICO!B15*LN(P_STORICO!B15),0))</x:f>
        <x:v>0.20421910346753244</x:v>
      </x:c>
      <x:c r="C15" s="92" t="str">
        <x:f>IF(P_STORICO!C15="","",IF(P_STORICO!C15&gt;0,-P_STORICO!C15*LN(P_STORICO!C15),0))</x:f>
      </x:c>
      <x:c r="D15" s="92" t="str">
        <x:f>IF(P_STORICO!D15="","",IF(P_STORICO!D15&gt;0,-P_STORICO!D15*LN(P_STORICO!D15),0))</x:f>
      </x:c>
      <x:c r="E15" s="92" t="str">
        <x:f>IF(P_STORICO!E15="","",IF(P_STORICO!E15&gt;0,-P_STORICO!E15*LN(P_STORICO!E15),0))</x:f>
      </x:c>
      <x:c r="F15" s="92" t="str">
        <x:f>IF(P_STORICO!F15="","",IF(P_STORICO!F15&gt;0,-P_STORICO!F15*LN(P_STORICO!F15),0))</x:f>
      </x:c>
      <x:c r="G15" s="92" t="str">
        <x:f>IF(P_STORICO!G15="","",IF(P_STORICO!G15&gt;0,-P_STORICO!G15*LN(P_STORICO!G15),0))</x:f>
      </x:c>
      <x:c r="H15" s="92" t="str">
        <x:f>IF(P_STORICO!H15="","",IF(P_STORICO!H15&gt;0,-P_STORICO!H15*LN(P_STORICO!H15),0))</x:f>
      </x:c>
      <x:c r="I15" s="92" t="str">
        <x:f>IF(P_STORICO!I15="","",IF(P_STORICO!I15&gt;0,-P_STORICO!I15*LN(P_STORICO!I15),0))</x:f>
      </x:c>
      <x:c r="J15" s="92" t="str">
        <x:f>IF(P_STORICO!J15="","",IF(P_STORICO!J15&gt;0,-P_STORICO!J15*LN(P_STORICO!J15),0))</x:f>
      </x:c>
      <x:c r="K15" s="92" t="str">
        <x:f>IF(P_STORICO!K15="","",IF(P_STORICO!K15&gt;0,-P_STORICO!K15*LN(P_STORICO!K15),0))</x:f>
      </x:c>
      <x:c r="L15" s="92" t="str">
        <x:f>IF(P_STORICO!L15="","",IF(P_STORICO!L15&gt;0,-P_STORICO!L15*LN(P_STORICO!L15),0))</x:f>
      </x:c>
      <x:c r="M15" s="92" t="str">
        <x:f>IF(P_STORICO!M15="","",IF(P_STORICO!M15&gt;0,-P_STORICO!M15*LN(P_STORICO!M15),0))</x:f>
      </x:c>
      <x:c r="N15" s="92" t="str">
        <x:f>IF(P_STORICO!N15="","",IF(P_STORICO!N15&gt;0,-P_STORICO!N15*LN(P_STORICO!N15),0))</x:f>
      </x:c>
    </x:row>
    <x:row r="16">
      <x:c r="A16" t="str">
        <x:v>Abruzzo</x:v>
      </x:c>
      <x:c r="B16" s="92" t="n">
        <x:f>IF(P_STORICO!B16="","",IF(P_STORICO!B16&gt;0,-P_STORICO!B16*LN(P_STORICO!B16),0))</x:f>
        <x:v>0.0779924555527157</x:v>
      </x:c>
      <x:c r="C16" s="92" t="str">
        <x:f>IF(P_STORICO!C16="","",IF(P_STORICO!C16&gt;0,-P_STORICO!C16*LN(P_STORICO!C16),0))</x:f>
      </x:c>
      <x:c r="D16" s="92" t="str">
        <x:f>IF(P_STORICO!D16="","",IF(P_STORICO!D16&gt;0,-P_STORICO!D16*LN(P_STORICO!D16),0))</x:f>
      </x:c>
      <x:c r="E16" s="92" t="str">
        <x:f>IF(P_STORICO!E16="","",IF(P_STORICO!E16&gt;0,-P_STORICO!E16*LN(P_STORICO!E16),0))</x:f>
      </x:c>
      <x:c r="F16" s="92" t="str">
        <x:f>IF(P_STORICO!F16="","",IF(P_STORICO!F16&gt;0,-P_STORICO!F16*LN(P_STORICO!F16),0))</x:f>
      </x:c>
      <x:c r="G16" s="92" t="str">
        <x:f>IF(P_STORICO!G16="","",IF(P_STORICO!G16&gt;0,-P_STORICO!G16*LN(P_STORICO!G16),0))</x:f>
      </x:c>
      <x:c r="H16" s="92" t="str">
        <x:f>IF(P_STORICO!H16="","",IF(P_STORICO!H16&gt;0,-P_STORICO!H16*LN(P_STORICO!H16),0))</x:f>
      </x:c>
      <x:c r="I16" s="92" t="str">
        <x:f>IF(P_STORICO!I16="","",IF(P_STORICO!I16&gt;0,-P_STORICO!I16*LN(P_STORICO!I16),0))</x:f>
      </x:c>
      <x:c r="J16" s="92" t="str">
        <x:f>IF(P_STORICO!J16="","",IF(P_STORICO!J16&gt;0,-P_STORICO!J16*LN(P_STORICO!J16),0))</x:f>
      </x:c>
      <x:c r="K16" s="92" t="str">
        <x:f>IF(P_STORICO!K16="","",IF(P_STORICO!K16&gt;0,-P_STORICO!K16*LN(P_STORICO!K16),0))</x:f>
      </x:c>
      <x:c r="L16" s="92" t="str">
        <x:f>IF(P_STORICO!L16="","",IF(P_STORICO!L16&gt;0,-P_STORICO!L16*LN(P_STORICO!L16),0))</x:f>
      </x:c>
      <x:c r="M16" s="92" t="str">
        <x:f>IF(P_STORICO!M16="","",IF(P_STORICO!M16&gt;0,-P_STORICO!M16*LN(P_STORICO!M16),0))</x:f>
      </x:c>
      <x:c r="N16" s="92" t="str">
        <x:f>IF(P_STORICO!N16="","",IF(P_STORICO!N16&gt;0,-P_STORICO!N16*LN(P_STORICO!N16),0))</x:f>
      </x:c>
    </x:row>
    <x:row r="17">
      <x:c r="A17" t="str">
        <x:v>Molise</x:v>
      </x:c>
      <x:c r="B17" s="92" t="n">
        <x:f>IF(P_STORICO!B17="","",IF(P_STORICO!B17&gt;0,-P_STORICO!B17*LN(P_STORICO!B17),0))</x:f>
        <x:v>0.03321004035894482</x:v>
      </x:c>
      <x:c r="C17" s="92" t="str">
        <x:f>IF(P_STORICO!C17="","",IF(P_STORICO!C17&gt;0,-P_STORICO!C17*LN(P_STORICO!C17),0))</x:f>
      </x:c>
      <x:c r="D17" s="92" t="str">
        <x:f>IF(P_STORICO!D17="","",IF(P_STORICO!D17&gt;0,-P_STORICO!D17*LN(P_STORICO!D17),0))</x:f>
      </x:c>
      <x:c r="E17" s="92" t="str">
        <x:f>IF(P_STORICO!E17="","",IF(P_STORICO!E17&gt;0,-P_STORICO!E17*LN(P_STORICO!E17),0))</x:f>
      </x:c>
      <x:c r="F17" s="92" t="str">
        <x:f>IF(P_STORICO!F17="","",IF(P_STORICO!F17&gt;0,-P_STORICO!F17*LN(P_STORICO!F17),0))</x:f>
      </x:c>
      <x:c r="G17" s="92" t="str">
        <x:f>IF(P_STORICO!G17="","",IF(P_STORICO!G17&gt;0,-P_STORICO!G17*LN(P_STORICO!G17),0))</x:f>
      </x:c>
      <x:c r="H17" s="92" t="str">
        <x:f>IF(P_STORICO!H17="","",IF(P_STORICO!H17&gt;0,-P_STORICO!H17*LN(P_STORICO!H17),0))</x:f>
      </x:c>
      <x:c r="I17" s="92" t="str">
        <x:f>IF(P_STORICO!I17="","",IF(P_STORICO!I17&gt;0,-P_STORICO!I17*LN(P_STORICO!I17),0))</x:f>
      </x:c>
      <x:c r="J17" s="92" t="str">
        <x:f>IF(P_STORICO!J17="","",IF(P_STORICO!J17&gt;0,-P_STORICO!J17*LN(P_STORICO!J17),0))</x:f>
      </x:c>
      <x:c r="K17" s="92" t="str">
        <x:f>IF(P_STORICO!K17="","",IF(P_STORICO!K17&gt;0,-P_STORICO!K17*LN(P_STORICO!K17),0))</x:f>
      </x:c>
      <x:c r="L17" s="92" t="str">
        <x:f>IF(P_STORICO!L17="","",IF(P_STORICO!L17&gt;0,-P_STORICO!L17*LN(P_STORICO!L17),0))</x:f>
      </x:c>
      <x:c r="M17" s="92" t="str">
        <x:f>IF(P_STORICO!M17="","",IF(P_STORICO!M17&gt;0,-P_STORICO!M17*LN(P_STORICO!M17),0))</x:f>
      </x:c>
      <x:c r="N17" s="92" t="str">
        <x:f>IF(P_STORICO!N17="","",IF(P_STORICO!N17&gt;0,-P_STORICO!N17*LN(P_STORICO!N17),0))</x:f>
      </x:c>
    </x:row>
    <x:row r="18">
      <x:c r="A18" t="str">
        <x:v>Campania</x:v>
      </x:c>
      <x:c r="B18" s="92" t="n">
        <x:f>IF(P_STORICO!B18="","",IF(P_STORICO!B18&gt;0,-P_STORICO!B18*LN(P_STORICO!B18),0))</x:f>
        <x:v>0.18340761035396233</x:v>
      </x:c>
      <x:c r="C18" s="92" t="str">
        <x:f>IF(P_STORICO!C18="","",IF(P_STORICO!C18&gt;0,-P_STORICO!C18*LN(P_STORICO!C18),0))</x:f>
      </x:c>
      <x:c r="D18" s="92" t="str">
        <x:f>IF(P_STORICO!D18="","",IF(P_STORICO!D18&gt;0,-P_STORICO!D18*LN(P_STORICO!D18),0))</x:f>
      </x:c>
      <x:c r="E18" s="92" t="str">
        <x:f>IF(P_STORICO!E18="","",IF(P_STORICO!E18&gt;0,-P_STORICO!E18*LN(P_STORICO!E18),0))</x:f>
      </x:c>
      <x:c r="F18" s="92" t="str">
        <x:f>IF(P_STORICO!F18="","",IF(P_STORICO!F18&gt;0,-P_STORICO!F18*LN(P_STORICO!F18),0))</x:f>
      </x:c>
      <x:c r="G18" s="92" t="str">
        <x:f>IF(P_STORICO!G18="","",IF(P_STORICO!G18&gt;0,-P_STORICO!G18*LN(P_STORICO!G18),0))</x:f>
      </x:c>
      <x:c r="H18" s="92" t="str">
        <x:f>IF(P_STORICO!H18="","",IF(P_STORICO!H18&gt;0,-P_STORICO!H18*LN(P_STORICO!H18),0))</x:f>
      </x:c>
      <x:c r="I18" s="92" t="str">
        <x:f>IF(P_STORICO!I18="","",IF(P_STORICO!I18&gt;0,-P_STORICO!I18*LN(P_STORICO!I18),0))</x:f>
      </x:c>
      <x:c r="J18" s="92" t="str">
        <x:f>IF(P_STORICO!J18="","",IF(P_STORICO!J18&gt;0,-P_STORICO!J18*LN(P_STORICO!J18),0))</x:f>
      </x:c>
      <x:c r="K18" s="92" t="str">
        <x:f>IF(P_STORICO!K18="","",IF(P_STORICO!K18&gt;0,-P_STORICO!K18*LN(P_STORICO!K18),0))</x:f>
      </x:c>
      <x:c r="L18" s="92" t="str">
        <x:f>IF(P_STORICO!L18="","",IF(P_STORICO!L18&gt;0,-P_STORICO!L18*LN(P_STORICO!L18),0))</x:f>
      </x:c>
      <x:c r="M18" s="92" t="str">
        <x:f>IF(P_STORICO!M18="","",IF(P_STORICO!M18&gt;0,-P_STORICO!M18*LN(P_STORICO!M18),0))</x:f>
      </x:c>
      <x:c r="N18" s="92" t="str">
        <x:f>IF(P_STORICO!N18="","",IF(P_STORICO!N18&gt;0,-P_STORICO!N18*LN(P_STORICO!N18),0))</x:f>
      </x:c>
    </x:row>
    <x:row r="19">
      <x:c r="A19" t="str">
        <x:v>Puglia</x:v>
      </x:c>
      <x:c r="B19" s="92" t="n">
        <x:f>IF(P_STORICO!B19="","",IF(P_STORICO!B19&gt;0,-P_STORICO!B19*LN(P_STORICO!B19),0))</x:f>
        <x:v>0.16763931172781527</x:v>
      </x:c>
      <x:c r="C19" s="92" t="str">
        <x:f>IF(P_STORICO!C19="","",IF(P_STORICO!C19&gt;0,-P_STORICO!C19*LN(P_STORICO!C19),0))</x:f>
      </x:c>
      <x:c r="D19" s="92" t="str">
        <x:f>IF(P_STORICO!D19="","",IF(P_STORICO!D19&gt;0,-P_STORICO!D19*LN(P_STORICO!D19),0))</x:f>
      </x:c>
      <x:c r="E19" s="92" t="str">
        <x:f>IF(P_STORICO!E19="","",IF(P_STORICO!E19&gt;0,-P_STORICO!E19*LN(P_STORICO!E19),0))</x:f>
      </x:c>
      <x:c r="F19" s="92" t="str">
        <x:f>IF(P_STORICO!F19="","",IF(P_STORICO!F19&gt;0,-P_STORICO!F19*LN(P_STORICO!F19),0))</x:f>
      </x:c>
      <x:c r="G19" s="92" t="str">
        <x:f>IF(P_STORICO!G19="","",IF(P_STORICO!G19&gt;0,-P_STORICO!G19*LN(P_STORICO!G19),0))</x:f>
      </x:c>
      <x:c r="H19" s="92" t="str">
        <x:f>IF(P_STORICO!H19="","",IF(P_STORICO!H19&gt;0,-P_STORICO!H19*LN(P_STORICO!H19),0))</x:f>
      </x:c>
      <x:c r="I19" s="92" t="str">
        <x:f>IF(P_STORICO!I19="","",IF(P_STORICO!I19&gt;0,-P_STORICO!I19*LN(P_STORICO!I19),0))</x:f>
      </x:c>
      <x:c r="J19" s="92" t="str">
        <x:f>IF(P_STORICO!J19="","",IF(P_STORICO!J19&gt;0,-P_STORICO!J19*LN(P_STORICO!J19),0))</x:f>
      </x:c>
      <x:c r="K19" s="92" t="str">
        <x:f>IF(P_STORICO!K19="","",IF(P_STORICO!K19&gt;0,-P_STORICO!K19*LN(P_STORICO!K19),0))</x:f>
      </x:c>
      <x:c r="L19" s="92" t="str">
        <x:f>IF(P_STORICO!L19="","",IF(P_STORICO!L19&gt;0,-P_STORICO!L19*LN(P_STORICO!L19),0))</x:f>
      </x:c>
      <x:c r="M19" s="92" t="str">
        <x:f>IF(P_STORICO!M19="","",IF(P_STORICO!M19&gt;0,-P_STORICO!M19*LN(P_STORICO!M19),0))</x:f>
      </x:c>
      <x:c r="N19" s="92" t="str">
        <x:f>IF(P_STORICO!N19="","",IF(P_STORICO!N19&gt;0,-P_STORICO!N19*LN(P_STORICO!N19),0))</x:f>
      </x:c>
    </x:row>
    <x:row r="20">
      <x:c r="A20" t="str">
        <x:v>Basilicata</x:v>
      </x:c>
      <x:c r="B20" s="92" t="n">
        <x:f>IF(P_STORICO!B20="","",IF(P_STORICO!B20&gt;0,-P_STORICO!B20*LN(P_STORICO!B20),0))</x:f>
        <x:v>0.0426817782942706</x:v>
      </x:c>
      <x:c r="C20" s="92" t="str">
        <x:f>IF(P_STORICO!C20="","",IF(P_STORICO!C20&gt;0,-P_STORICO!C20*LN(P_STORICO!C20),0))</x:f>
      </x:c>
      <x:c r="D20" s="92" t="str">
        <x:f>IF(P_STORICO!D20="","",IF(P_STORICO!D20&gt;0,-P_STORICO!D20*LN(P_STORICO!D20),0))</x:f>
      </x:c>
      <x:c r="E20" s="92" t="str">
        <x:f>IF(P_STORICO!E20="","",IF(P_STORICO!E20&gt;0,-P_STORICO!E20*LN(P_STORICO!E20),0))</x:f>
      </x:c>
      <x:c r="F20" s="92" t="str">
        <x:f>IF(P_STORICO!F20="","",IF(P_STORICO!F20&gt;0,-P_STORICO!F20*LN(P_STORICO!F20),0))</x:f>
      </x:c>
      <x:c r="G20" s="92" t="str">
        <x:f>IF(P_STORICO!G20="","",IF(P_STORICO!G20&gt;0,-P_STORICO!G20*LN(P_STORICO!G20),0))</x:f>
      </x:c>
      <x:c r="H20" s="92" t="str">
        <x:f>IF(P_STORICO!H20="","",IF(P_STORICO!H20&gt;0,-P_STORICO!H20*LN(P_STORICO!H20),0))</x:f>
      </x:c>
      <x:c r="I20" s="92" t="str">
        <x:f>IF(P_STORICO!I20="","",IF(P_STORICO!I20&gt;0,-P_STORICO!I20*LN(P_STORICO!I20),0))</x:f>
      </x:c>
      <x:c r="J20" s="92" t="str">
        <x:f>IF(P_STORICO!J20="","",IF(P_STORICO!J20&gt;0,-P_STORICO!J20*LN(P_STORICO!J20),0))</x:f>
      </x:c>
      <x:c r="K20" s="92" t="str">
        <x:f>IF(P_STORICO!K20="","",IF(P_STORICO!K20&gt;0,-P_STORICO!K20*LN(P_STORICO!K20),0))</x:f>
      </x:c>
      <x:c r="L20" s="92" t="str">
        <x:f>IF(P_STORICO!L20="","",IF(P_STORICO!L20&gt;0,-P_STORICO!L20*LN(P_STORICO!L20),0))</x:f>
      </x:c>
      <x:c r="M20" s="92" t="str">
        <x:f>IF(P_STORICO!M20="","",IF(P_STORICO!M20&gt;0,-P_STORICO!M20*LN(P_STORICO!M20),0))</x:f>
      </x:c>
      <x:c r="N20" s="92" t="str">
        <x:f>IF(P_STORICO!N20="","",IF(P_STORICO!N20&gt;0,-P_STORICO!N20*LN(P_STORICO!N20),0))</x:f>
      </x:c>
    </x:row>
    <x:row r="21">
      <x:c r="A21" t="str">
        <x:v>Calabria</x:v>
      </x:c>
      <x:c r="B21" s="92" t="n">
        <x:f>IF(P_STORICO!B21="","",IF(P_STORICO!B21&gt;0,-P_STORICO!B21*LN(P_STORICO!B21),0))</x:f>
        <x:v>0.12841956177909478</x:v>
      </x:c>
      <x:c r="C21" s="92" t="str">
        <x:f>IF(P_STORICO!C21="","",IF(P_STORICO!C21&gt;0,-P_STORICO!C21*LN(P_STORICO!C21),0))</x:f>
      </x:c>
      <x:c r="D21" s="92" t="str">
        <x:f>IF(P_STORICO!D21="","",IF(P_STORICO!D21&gt;0,-P_STORICO!D21*LN(P_STORICO!D21),0))</x:f>
      </x:c>
      <x:c r="E21" s="92" t="str">
        <x:f>IF(P_STORICO!E21="","",IF(P_STORICO!E21&gt;0,-P_STORICO!E21*LN(P_STORICO!E21),0))</x:f>
      </x:c>
      <x:c r="F21" s="92" t="str">
        <x:f>IF(P_STORICO!F21="","",IF(P_STORICO!F21&gt;0,-P_STORICO!F21*LN(P_STORICO!F21),0))</x:f>
      </x:c>
      <x:c r="G21" s="92" t="str">
        <x:f>IF(P_STORICO!G21="","",IF(P_STORICO!G21&gt;0,-P_STORICO!G21*LN(P_STORICO!G21),0))</x:f>
      </x:c>
      <x:c r="H21" s="92" t="str">
        <x:f>IF(P_STORICO!H21="","",IF(P_STORICO!H21&gt;0,-P_STORICO!H21*LN(P_STORICO!H21),0))</x:f>
      </x:c>
      <x:c r="I21" s="92" t="str">
        <x:f>IF(P_STORICO!I21="","",IF(P_STORICO!I21&gt;0,-P_STORICO!I21*LN(P_STORICO!I21),0))</x:f>
      </x:c>
      <x:c r="J21" s="92" t="str">
        <x:f>IF(P_STORICO!J21="","",IF(P_STORICO!J21&gt;0,-P_STORICO!J21*LN(P_STORICO!J21),0))</x:f>
      </x:c>
      <x:c r="K21" s="92" t="str">
        <x:f>IF(P_STORICO!K21="","",IF(P_STORICO!K21&gt;0,-P_STORICO!K21*LN(P_STORICO!K21),0))</x:f>
      </x:c>
      <x:c r="L21" s="92" t="str">
        <x:f>IF(P_STORICO!L21="","",IF(P_STORICO!L21&gt;0,-P_STORICO!L21*LN(P_STORICO!L21),0))</x:f>
      </x:c>
      <x:c r="M21" s="92" t="str">
        <x:f>IF(P_STORICO!M21="","",IF(P_STORICO!M21&gt;0,-P_STORICO!M21*LN(P_STORICO!M21),0))</x:f>
      </x:c>
      <x:c r="N21" s="92" t="str">
        <x:f>IF(P_STORICO!N21="","",IF(P_STORICO!N21&gt;0,-P_STORICO!N21*LN(P_STORICO!N21),0))</x:f>
      </x:c>
    </x:row>
    <x:row r="22">
      <x:c r="A22" t="str">
        <x:v>Sicilia</x:v>
      </x:c>
      <x:c r="B22" s="92" t="n">
        <x:f>IF(P_STORICO!B22="","",IF(P_STORICO!B22&gt;0,-P_STORICO!B22*LN(P_STORICO!B22),0))</x:f>
        <x:v>0.16893261246947033</x:v>
      </x:c>
      <x:c r="C22" s="92" t="str">
        <x:f>IF(P_STORICO!C22="","",IF(P_STORICO!C22&gt;0,-P_STORICO!C22*LN(P_STORICO!C22),0))</x:f>
      </x:c>
      <x:c r="D22" s="92" t="str">
        <x:f>IF(P_STORICO!D22="","",IF(P_STORICO!D22&gt;0,-P_STORICO!D22*LN(P_STORICO!D22),0))</x:f>
      </x:c>
      <x:c r="E22" s="92" t="str">
        <x:f>IF(P_STORICO!E22="","",IF(P_STORICO!E22&gt;0,-P_STORICO!E22*LN(P_STORICO!E22),0))</x:f>
      </x:c>
      <x:c r="F22" s="92" t="str">
        <x:f>IF(P_STORICO!F22="","",IF(P_STORICO!F22&gt;0,-P_STORICO!F22*LN(P_STORICO!F22),0))</x:f>
      </x:c>
      <x:c r="G22" s="92" t="str">
        <x:f>IF(P_STORICO!G22="","",IF(P_STORICO!G22&gt;0,-P_STORICO!G22*LN(P_STORICO!G22),0))</x:f>
      </x:c>
      <x:c r="H22" s="92" t="str">
        <x:f>IF(P_STORICO!H22="","",IF(P_STORICO!H22&gt;0,-P_STORICO!H22*LN(P_STORICO!H22),0))</x:f>
      </x:c>
      <x:c r="I22" s="92" t="str">
        <x:f>IF(P_STORICO!I22="","",IF(P_STORICO!I22&gt;0,-P_STORICO!I22*LN(P_STORICO!I22),0))</x:f>
      </x:c>
      <x:c r="J22" s="92" t="str">
        <x:f>IF(P_STORICO!J22="","",IF(P_STORICO!J22&gt;0,-P_STORICO!J22*LN(P_STORICO!J22),0))</x:f>
      </x:c>
      <x:c r="K22" s="92" t="str">
        <x:f>IF(P_STORICO!K22="","",IF(P_STORICO!K22&gt;0,-P_STORICO!K22*LN(P_STORICO!K22),0))</x:f>
      </x:c>
      <x:c r="L22" s="92" t="str">
        <x:f>IF(P_STORICO!L22="","",IF(P_STORICO!L22&gt;0,-P_STORICO!L22*LN(P_STORICO!L22),0))</x:f>
      </x:c>
      <x:c r="M22" s="92" t="str">
        <x:f>IF(P_STORICO!M22="","",IF(P_STORICO!M22&gt;0,-P_STORICO!M22*LN(P_STORICO!M22),0))</x:f>
      </x:c>
      <x:c r="N22" s="92" t="str">
        <x:f>IF(P_STORICO!N22="","",IF(P_STORICO!N22&gt;0,-P_STORICO!N22*LN(P_STORICO!N22),0))</x:f>
      </x:c>
    </x:row>
    <x:row r="23">
      <x:c r="A23" t="str">
        <x:v>Sardegna</x:v>
      </x:c>
      <x:c r="B23" s="92" t="n">
        <x:f>IF(P_STORICO!B23="","",IF(P_STORICO!B23&gt;0,-P_STORICO!B23*LN(P_STORICO!B23),0))</x:f>
        <x:v>0.08943312650392775</x:v>
      </x:c>
      <x:c r="C23" s="92" t="str">
        <x:f>IF(P_STORICO!C23="","",IF(P_STORICO!C23&gt;0,-P_STORICO!C23*LN(P_STORICO!C23),0))</x:f>
      </x:c>
      <x:c r="D23" s="92" t="str">
        <x:f>IF(P_STORICO!D23="","",IF(P_STORICO!D23&gt;0,-P_STORICO!D23*LN(P_STORICO!D23),0))</x:f>
      </x:c>
      <x:c r="E23" s="92" t="str">
        <x:f>IF(P_STORICO!E23="","",IF(P_STORICO!E23&gt;0,-P_STORICO!E23*LN(P_STORICO!E23),0))</x:f>
      </x:c>
      <x:c r="F23" s="92" t="str">
        <x:f>IF(P_STORICO!F23="","",IF(P_STORICO!F23&gt;0,-P_STORICO!F23*LN(P_STORICO!F23),0))</x:f>
      </x:c>
      <x:c r="G23" s="92" t="str">
        <x:f>IF(P_STORICO!G23="","",IF(P_STORICO!G23&gt;0,-P_STORICO!G23*LN(P_STORICO!G23),0))</x:f>
      </x:c>
      <x:c r="H23" s="92" t="str">
        <x:f>IF(P_STORICO!H23="","",IF(P_STORICO!H23&gt;0,-P_STORICO!H23*LN(P_STORICO!H23),0))</x:f>
      </x:c>
      <x:c r="I23" s="92" t="str">
        <x:f>IF(P_STORICO!I23="","",IF(P_STORICO!I23&gt;0,-P_STORICO!I23*LN(P_STORICO!I23),0))</x:f>
      </x:c>
      <x:c r="J23" s="92" t="str">
        <x:f>IF(P_STORICO!J23="","",IF(P_STORICO!J23&gt;0,-P_STORICO!J23*LN(P_STORICO!J23),0))</x:f>
      </x:c>
      <x:c r="K23" s="92" t="str">
        <x:f>IF(P_STORICO!K23="","",IF(P_STORICO!K23&gt;0,-P_STORICO!K23*LN(P_STORICO!K23),0))</x:f>
      </x:c>
      <x:c r="L23" s="92" t="str">
        <x:f>IF(P_STORICO!L23="","",IF(P_STORICO!L23&gt;0,-P_STORICO!L23*LN(P_STORICO!L23),0))</x:f>
      </x:c>
      <x:c r="M23" s="92" t="str">
        <x:f>IF(P_STORICO!M23="","",IF(P_STORICO!M23&gt;0,-P_STORICO!M23*LN(P_STORICO!M23),0))</x:f>
      </x:c>
      <x:c r="N23" s="92" t="str">
        <x:f>IF(P_STORICO!N23="","",IF(P_STORICO!N23&gt;0,-P_STORICO!N23*LN(P_STORICO!N23),0))</x:f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85" t="str">
        <x:v>BASELINE CONGELATA: f/v/m e pesi dal 18/10/2026. NON MODIFICARE</x:v>
      </x:c>
      <x:c r="B1" s="85" t="str"/>
      <x:c r="C1" s="85" t="str"/>
      <x:c r="D1" s="85" t="str"/>
      <x:c r="E1" s="85" t="str"/>
      <x:c r="F1" s="85" t="str"/>
      <x:c r="G1" s="85" t="str"/>
      <x:c r="H1" s="85"/>
    </x:row>
    <x:row r="3">
      <x:c r="A3" s="89" t="str">
        <x:v>Regione</x:v>
      </x:c>
      <x:c r="B3" s="89" t="str">
        <x:v>f fisso</x:v>
      </x:c>
      <x:c r="C3" s="89" t="str">
        <x:v>v fisso</x:v>
      </x:c>
      <x:c r="D3" s="89" t="str">
        <x:v>m fisso</x:v>
      </x:c>
      <x:c r="E3" s="89" t="str">
        <x:v>P_flussi</x:v>
      </x:c>
      <x:c r="F3" s="89" t="str">
        <x:v>P_preferenze</x:v>
      </x:c>
      <x:c r="G3" s="89" t="str">
        <x:v>P_istituzioni</x:v>
      </x:c>
      <x:c r="H3" s="89" t="str">
        <x:v>P_iscritti</x:v>
      </x:c>
    </x:row>
    <x:row r="4">
      <x:c r="A4" t="str">
        <x:v>Piemonte</x:v>
      </x:c>
      <x:c r="B4" s="92" t="n">
        <x:v>0.07775620104421713</x:v>
      </x:c>
      <x:c r="C4" s="92" t="n">
        <x:v>0.09238487395171985</x:v>
      </x:c>
      <x:c r="D4" s="92" t="n">
        <x:v>0.11086500226920144</x:v>
      </x:c>
      <x:c r="E4" s="92" t="n">
        <x:v>0.35</x:v>
      </x:c>
      <x:c r="F4" s="92" t="n">
        <x:v>0.25</x:v>
      </x:c>
      <x:c r="G4" s="92" t="n">
        <x:v>0.15</x:v>
      </x:c>
      <x:c r="H4" s="92" t="n">
        <x:v>0.25</x:v>
      </x:c>
    </x:row>
    <x:row r="5">
      <x:c r="A5" t="str">
        <x:v>Valle d'Aosta</x:v>
      </x:c>
      <x:c r="B5" s="92" t="n">
        <x:v>0.001833642341798658</x:v>
      </x:c>
      <x:c r="C5" s="92" t="n">
        <x:v>0.0016937810017035849</x:v>
      </x:c>
      <x:c r="D5" s="92" t="n">
        <x:v>0.00042564517385502553</x:v>
      </x:c>
      <x:c r="E5" s="92" t="n">
        <x:v>0.35</x:v>
      </x:c>
      <x:c r="F5" s="92" t="n">
        <x:v>0.25</x:v>
      </x:c>
      <x:c r="G5" s="92" t="n">
        <x:v>0.15</x:v>
      </x:c>
      <x:c r="H5" s="92" t="n">
        <x:v>0.25</x:v>
      </x:c>
    </x:row>
    <x:row r="6">
      <x:c r="A6" t="str">
        <x:v>Liguria</x:v>
      </x:c>
      <x:c r="B6" s="92" t="n">
        <x:v>0.025877301000989877</x:v>
      </x:c>
      <x:c r="C6" s="92" t="n">
        <x:v>0.026628882980942608</x:v>
      </x:c>
      <x:c r="D6" s="92" t="n">
        <x:v>0.03972733703405305</x:v>
      </x:c>
      <x:c r="E6" s="92" t="n">
        <x:v>0.35</x:v>
      </x:c>
      <x:c r="F6" s="92" t="n">
        <x:v>0.25</x:v>
      </x:c>
      <x:c r="G6" s="92" t="n">
        <x:v>0.15</x:v>
      </x:c>
      <x:c r="H6" s="92" t="n">
        <x:v>0.25</x:v>
      </x:c>
    </x:row>
    <x:row r="7">
      <x:c r="A7" t="str">
        <x:v>Lombardia</x:v>
      </x:c>
      <x:c r="B7" s="92" t="n">
        <x:v>0.19395110375962715</x:v>
      </x:c>
      <x:c r="C7" s="92" t="n">
        <x:v>0.230306855408289</x:v>
      </x:c>
      <x:c r="D7" s="92" t="n">
        <x:v>0.1853057921727457</x:v>
      </x:c>
      <x:c r="E7" s="92" t="n">
        <x:v>0.35</x:v>
      </x:c>
      <x:c r="F7" s="92" t="n">
        <x:v>0.25</x:v>
      </x:c>
      <x:c r="G7" s="92" t="n">
        <x:v>0.15</x:v>
      </x:c>
      <x:c r="H7" s="92" t="n">
        <x:v>0.25</x:v>
      </x:c>
    </x:row>
    <x:row r="8">
      <x:c r="A8" t="str">
        <x:v>Trentino-Alto Adige</x:v>
      </x:c>
      <x:c r="B8" s="92" t="n">
        <x:v>0.015571528855626226</x:v>
      </x:c>
      <x:c r="C8" s="92" t="n">
        <x:v>0.01603608426206629</x:v>
      </x:c>
      <x:c r="D8" s="92" t="n">
        <x:v>0.02081129324031052</x:v>
      </x:c>
      <x:c r="E8" s="92" t="n">
        <x:v>0.35</x:v>
      </x:c>
      <x:c r="F8" s="92" t="n">
        <x:v>0.25</x:v>
      </x:c>
      <x:c r="G8" s="92" t="n">
        <x:v>0.15</x:v>
      </x:c>
      <x:c r="H8" s="92" t="n">
        <x:v>0.25</x:v>
      </x:c>
    </x:row>
    <x:row r="9">
      <x:c r="A9" t="str">
        <x:v>Veneto</x:v>
      </x:c>
      <x:c r="B9" s="92" t="n">
        <x:v>0.10370893784000555</x:v>
      </x:c>
      <x:c r="C9" s="92" t="n">
        <x:v>0.14374689100056792</x:v>
      </x:c>
      <x:c r="D9" s="92" t="n">
        <x:v>0.10461809779656861</x:v>
      </x:c>
      <x:c r="E9" s="92" t="n">
        <x:v>0.35</x:v>
      </x:c>
      <x:c r="F9" s="92" t="n">
        <x:v>0.25</x:v>
      </x:c>
      <x:c r="G9" s="92" t="n">
        <x:v>0.15</x:v>
      </x:c>
      <x:c r="H9" s="92" t="n">
        <x:v>0.25</x:v>
      </x:c>
    </x:row>
    <x:row r="10">
      <x:c r="A10" t="str">
        <x:v>Friuli-Venezia Giulia</x:v>
      </x:c>
      <x:c r="B10" s="92" t="n">
        <x:v>0.02579888426455013</x:v>
      </x:c>
      <x:c r="C10" s="92" t="n">
        <x:v>0.038253758794421305</x:v>
      </x:c>
      <x:c r="D10" s="92" t="n">
        <x:v>0.005153198820332935</x:v>
      </x:c>
      <x:c r="E10" s="92" t="n">
        <x:v>0.35</x:v>
      </x:c>
      <x:c r="F10" s="92" t="n">
        <x:v>0.25</x:v>
      </x:c>
      <x:c r="G10" s="92" t="n">
        <x:v>0.15</x:v>
      </x:c>
      <x:c r="H10" s="92" t="n">
        <x:v>0.25</x:v>
      </x:c>
    </x:row>
    <x:row r="11">
      <x:c r="A11" t="str">
        <x:v>Emilia-Romagna</x:v>
      </x:c>
      <x:c r="B11" s="92" t="n">
        <x:v>0.06897385576998886</x:v>
      </x:c>
      <x:c r="C11" s="92" t="n">
        <x:v>0.06816661195226865</x:v>
      </x:c>
      <x:c r="D11" s="92" t="n">
        <x:v>0.07073813423009832</x:v>
      </x:c>
      <x:c r="E11" s="92" t="n">
        <x:v>0.35</x:v>
      </x:c>
      <x:c r="F11" s="92" t="n">
        <x:v>0.25</x:v>
      </x:c>
      <x:c r="G11" s="92" t="n">
        <x:v>0.15</x:v>
      </x:c>
      <x:c r="H11" s="92" t="n">
        <x:v>0.25</x:v>
      </x:c>
    </x:row>
    <x:row r="12">
      <x:c r="A12" t="str">
        <x:v>Toscana</x:v>
      </x:c>
      <x:c r="B12" s="92" t="n">
        <x:v>0.05649733739422541</x:v>
      </x:c>
      <x:c r="C12" s="92" t="n">
        <x:v>0.057591916923831865</x:v>
      </x:c>
      <x:c r="D12" s="92" t="n">
        <x:v>0.10854628240810085</x:v>
      </x:c>
      <x:c r="E12" s="92" t="n">
        <x:v>0.35</x:v>
      </x:c>
      <x:c r="F12" s="92" t="n">
        <x:v>0.25</x:v>
      </x:c>
      <x:c r="G12" s="92" t="n">
        <x:v>0.15</x:v>
      </x:c>
      <x:c r="H12" s="92" t="n">
        <x:v>0.25</x:v>
      </x:c>
    </x:row>
    <x:row r="13">
      <x:c r="A13" t="str">
        <x:v>Umbria</x:v>
      </x:c>
      <x:c r="B13" s="92" t="n">
        <x:v>0.014350792409006668</x:v>
      </x:c>
      <x:c r="C13" s="92" t="n">
        <x:v>0.015031630443438665</x:v>
      </x:c>
      <x:c r="D13" s="92" t="n">
        <x:v>0.004186411695666305</x:v>
      </x:c>
      <x:c r="E13" s="92" t="n">
        <x:v>0.35</x:v>
      </x:c>
      <x:c r="F13" s="92" t="n">
        <x:v>0.25</x:v>
      </x:c>
      <x:c r="G13" s="92" t="n">
        <x:v>0.15</x:v>
      </x:c>
      <x:c r="H13" s="92" t="n">
        <x:v>0.25</x:v>
      </x:c>
    </x:row>
    <x:row r="14">
      <x:c r="A14" t="str">
        <x:v>Marche</x:v>
      </x:c>
      <x:c r="B14" s="92" t="n">
        <x:v>0.027082059690265385</x:v>
      </x:c>
      <x:c r="C14" s="92" t="n">
        <x:v>0.030180966994458887</x:v>
      </x:c>
      <x:c r="D14" s="92" t="n">
        <x:v>0.023540125803046673</x:v>
      </x:c>
      <x:c r="E14" s="92" t="n">
        <x:v>0.35</x:v>
      </x:c>
      <x:c r="F14" s="92" t="n">
        <x:v>0.25</x:v>
      </x:c>
      <x:c r="G14" s="92" t="n">
        <x:v>0.15</x:v>
      </x:c>
      <x:c r="H14" s="92" t="n">
        <x:v>0.25</x:v>
      </x:c>
    </x:row>
    <x:row r="15">
      <x:c r="A15" t="str">
        <x:v>Lazio</x:v>
      </x:c>
      <x:c r="B15" s="92" t="n">
        <x:v>0.09184415294043304</x:v>
      </x:c>
      <x:c r="C15" s="92" t="n">
        <x:v>0.07730825044901639</x:v>
      </x:c>
      <x:c r="D15" s="92" t="n">
        <x:v>0.03042046304220724</x:v>
      </x:c>
      <x:c r="E15" s="92" t="n">
        <x:v>0.35</x:v>
      </x:c>
      <x:c r="F15" s="92" t="n">
        <x:v>0.25</x:v>
      </x:c>
      <x:c r="G15" s="92" t="n">
        <x:v>0.15</x:v>
      </x:c>
      <x:c r="H15" s="92" t="n">
        <x:v>0.25</x:v>
      </x:c>
    </x:row>
    <x:row r="16">
      <x:c r="A16" t="str">
        <x:v>Abruzzo</x:v>
      </x:c>
      <x:c r="B16" s="92" t="n">
        <x:v>0.023020320196779482</x:v>
      </x:c>
      <x:c r="C16" s="92" t="n">
        <x:v>0.016553735223484828</x:v>
      </x:c>
      <x:c r="D16" s="92" t="n">
        <x:v>0.0053897465389862054</x:v>
      </x:c>
      <x:c r="E16" s="92" t="n">
        <x:v>0.35</x:v>
      </x:c>
      <x:c r="F16" s="92" t="n">
        <x:v>0.25</x:v>
      </x:c>
      <x:c r="G16" s="92" t="n">
        <x:v>0.15</x:v>
      </x:c>
      <x:c r="H16" s="92" t="n">
        <x:v>0.25</x:v>
      </x:c>
    </x:row>
    <x:row r="17">
      <x:c r="A17" t="str">
        <x:v>Molise</x:v>
      </x:c>
      <x:c r="B17" s="92" t="n">
        <x:v>0.006734560802583515</x:v>
      </x:c>
      <x:c r="C17" s="92" t="n">
        <x:v>0.008994812794979646</x:v>
      </x:c>
      <x:c r="D17" s="92" t="n">
        <x:v>0.0013578387004762342</x:v>
      </x:c>
      <x:c r="E17" s="92" t="n">
        <x:v>0.35</x:v>
      </x:c>
      <x:c r="F17" s="92" t="n">
        <x:v>0.25</x:v>
      </x:c>
      <x:c r="G17" s="92" t="n">
        <x:v>0.15</x:v>
      </x:c>
      <x:c r="H17" s="92" t="n">
        <x:v>0.25</x:v>
      </x:c>
    </x:row>
    <x:row r="18">
      <x:c r="A18" t="str">
        <x:v>Campania</x:v>
      </x:c>
      <x:c r="B18" s="92" t="n">
        <x:v>0.07680234025493263</x:v>
      </x:c>
      <x:c r="C18" s="92" t="n">
        <x:v>0.04708896361653767</x:v>
      </x:c>
      <x:c r="D18" s="92" t="n">
        <x:v>0.0624275643904286</x:v>
      </x:c>
      <x:c r="E18" s="92" t="n">
        <x:v>0.35</x:v>
      </x:c>
      <x:c r="F18" s="92" t="n">
        <x:v>0.25</x:v>
      </x:c>
      <x:c r="G18" s="92" t="n">
        <x:v>0.15</x:v>
      </x:c>
      <x:c r="H18" s="92" t="n">
        <x:v>0.25</x:v>
      </x:c>
    </x:row>
    <x:row r="19">
      <x:c r="A19" t="str">
        <x:v>Puglia</x:v>
      </x:c>
      <x:c r="B19" s="92" t="n">
        <x:v>0.05887702410797349</x:v>
      </x:c>
      <x:c r="C19" s="92" t="n">
        <x:v>0.03485732019916967</x:v>
      </x:c>
      <x:c r="D19" s="92" t="n">
        <x:v>0.05588890529410766</x:v>
      </x:c>
      <x:c r="E19" s="92" t="n">
        <x:v>0.35</x:v>
      </x:c>
      <x:c r="F19" s="92" t="n">
        <x:v>0.25</x:v>
      </x:c>
      <x:c r="G19" s="92" t="n">
        <x:v>0.15</x:v>
      </x:c>
      <x:c r="H19" s="92" t="n">
        <x:v>0.25</x:v>
      </x:c>
    </x:row>
    <x:row r="20">
      <x:c r="A20" t="str">
        <x:v>Basilicata</x:v>
      </x:c>
      <x:c r="B20" s="92" t="n">
        <x:v>0.008694306948589085</x:v>
      </x:c>
      <x:c r="C20" s="92" t="n">
        <x:v>0.0046113299803679265</x:v>
      </x:c>
      <x:c r="D20" s="92" t="n">
        <x:v>0.01872753267071103</x:v>
      </x:c>
      <x:c r="E20" s="92" t="n">
        <x:v>0.35</x:v>
      </x:c>
      <x:c r="F20" s="92" t="n">
        <x:v>0.25</x:v>
      </x:c>
      <x:c r="G20" s="92" t="n">
        <x:v>0.15</x:v>
      </x:c>
      <x:c r="H20" s="92" t="n">
        <x:v>0.25</x:v>
      </x:c>
    </x:row>
    <x:row r="21">
      <x:c r="A21" t="str">
        <x:v>Calabria</x:v>
      </x:c>
      <x:c r="B21" s="92" t="n">
        <x:v>0.02995313959539216</x:v>
      </x:c>
      <x:c r="C21" s="92" t="n">
        <x:v>0.024334736535068843</x:v>
      </x:c>
      <x:c r="D21" s="92" t="n">
        <x:v>0.08949501335896018</x:v>
      </x:c>
      <x:c r="E21" s="92" t="n">
        <x:v>0.35</x:v>
      </x:c>
      <x:c r="F21" s="92" t="n">
        <x:v>0.25</x:v>
      </x:c>
      <x:c r="G21" s="92" t="n">
        <x:v>0.15</x:v>
      </x:c>
      <x:c r="H21" s="92" t="n">
        <x:v>0.25</x:v>
      </x:c>
    </x:row>
    <x:row r="22">
      <x:c r="A22" t="str">
        <x:v>Sicilia</x:v>
      </x:c>
      <x:c r="B22" s="92" t="n">
        <x:v>0.06996686922261834</x:v>
      </x:c>
      <x:c r="C22" s="92" t="n">
        <x:v>0.03774829814585767</x:v>
      </x:c>
      <x:c r="D22" s="92" t="n">
        <x:v>0.05730299990117425</x:v>
      </x:c>
      <x:c r="E22" s="92" t="n">
        <x:v>0.35</x:v>
      </x:c>
      <x:c r="F22" s="92" t="n">
        <x:v>0.25</x:v>
      </x:c>
      <x:c r="G22" s="92" t="n">
        <x:v>0.15</x:v>
      </x:c>
      <x:c r="H22" s="92" t="n">
        <x:v>0.25</x:v>
      </x:c>
    </x:row>
    <x:row r="23">
      <x:c r="A23" t="str">
        <x:v>Sardegna</x:v>
      </x:c>
      <x:c r="B23" s="92" t="n">
        <x:v>0.022705641560397238</x:v>
      </x:c>
      <x:c r="C23" s="92" t="n">
        <x:v>0.028480299341808672</x:v>
      </x:c>
      <x:c r="D23" s="92" t="n">
        <x:v>0.0050726154589691924</x:v>
      </x:c>
      <x:c r="E23" s="92" t="n">
        <x:v>0.35</x:v>
      </x:c>
      <x:c r="F23" s="92" t="n">
        <x:v>0.25</x:v>
      </x:c>
      <x:c r="G23" s="92" t="n">
        <x:v>0.15</x:v>
      </x:c>
      <x:c r="H23" s="92" t="n">
        <x:v>0.25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135" t="str">
        <x:v>FORMULE COMPATIBILI / ENTROPIE E CONFRONTO STRUTTURALE</x:v>
      </x:c>
      <x:c r="B1" s="135" t="str"/>
      <x:c r="C1" s="135" t="str"/>
      <x:c r="D1" s="135" t="str"/>
      <x:c r="E1" s="135" t="str"/>
      <x:c r="F1" s="135" t="str"/>
      <x:c r="G1" s="135" t="str"/>
      <x:c r="H1" s="135" t="str"/>
      <x:c r="I1" s="135" t="str"/>
      <x:c r="J1" s="135" t="str"/>
    </x:row>
    <x:row r="3">
      <x:c r="A3" s="137" t="str">
        <x:v>Regione</x:v>
      </x:c>
      <x:c r="B3" s="137" t="str">
        <x:v>H(q) contributo</x:v>
      </x:c>
      <x:c r="C3" s="137" t="str">
        <x:v>H(s) contributo</x:v>
      </x:c>
      <x:c r="D3" s="137" t="str">
        <x:v>H benchmark contrib.</x:v>
      </x:c>
      <x:c r="E3" s="137" t="str">
        <x:v>Differenza ponderata pp</x:v>
      </x:c>
      <x:c r="F3" s="137" t="str">
        <x:v>H alt J</x:v>
      </x:c>
      <x:c r="G3" s="137" t="str">
        <x:v>H alt K</x:v>
      </x:c>
      <x:c r="H3" s="137" t="str">
        <x:v>H alt L</x:v>
      </x:c>
      <x:c r="I3" s="137" t="str">
        <x:v>H alt M</x:v>
      </x:c>
      <x:c r="J3" s="137" t="str">
        <x:v>H alt N</x:v>
      </x:c>
    </x:row>
    <x:row r="4">
      <x:c r="A4" t="str">
        <x:v>Piemonte</x:v>
      </x:c>
      <x:c r="B4" t="n">
        <x:f>-SCENARIO!B4*LN(SCENARIO!B4)</x:f>
        <x:v>0.2028026420170235</x:v>
      </x:c>
      <x:c r="C4" t="n">
        <x:f>-SCENARIO!E4*LN(SCENARIO!E4)</x:f>
        <x:v>0.19194655616329798</x:v>
      </x:c>
      <x:c r="D4" t="n">
        <x:f>-SCENARIO!J4*LN(SCENARIO!J4)</x:f>
        <x:v>0.21197272855416932</x:v>
      </x:c>
      <x:c r="E4" t="n">
        <x:f>100*SCENARIO!B4*ABS(SCENARIO!I4-SCENARIO!K4)</x:f>
        <x:v>0.00970744046148138</x:v>
      </x:c>
      <x:c r="F4" t="n">
        <x:f>IF(SENSIBILITA!J4/PARAMETRI!$B$4*SCENARIO!B4&gt;0,-(SENSIBILITA!J4/PARAMETRI!$B$4*SCENARIO!B4)*LN(SENSIBILITA!J4/PARAMETRI!$B$4*SCENARIO!B4),0)</x:f>
        <x:v>0.21478780489028315</x:v>
      </x:c>
      <x:c r="G4" t="n">
        <x:f>IF(SENSIBILITA!K4/PARAMETRI!$B$4*SCENARIO!B4&gt;0,-(SENSIBILITA!K4/PARAMETRI!$B$4*SCENARIO!B4)*LN(SENSIBILITA!K4/PARAMETRI!$B$4*SCENARIO!B4),0)</x:f>
        <x:v>0.20339958372434172</x:v>
      </x:c>
      <x:c r="H4" t="n">
        <x:f>IF(SENSIBILITA!L4/PARAMETRI!$B$4*SCENARIO!B4&gt;0,-(SENSIBILITA!L4/PARAMETRI!$B$4*SCENARIO!B4)*LN(SENSIBILITA!L4/PARAMETRI!$B$4*SCENARIO!B4),0)</x:f>
        <x:v>0.19860309836341256</x:v>
      </x:c>
      <x:c r="I4" t="n">
        <x:f>IF(SENSIBILITA!M4/PARAMETRI!$B$4*SCENARIO!B4&gt;0,-(SENSIBILITA!M4/PARAMETRI!$B$4*SCENARIO!B4)*LN(SENSIBILITA!M4/PARAMETRI!$B$4*SCENARIO!B4),0)</x:f>
        <x:v>0.2096371574240333</x:v>
      </x:c>
      <x:c r="J4" t="n">
        <x:f>IF(SENSIBILITA!N4/PARAMETRI!$B$4*SCENARIO!B4&gt;0,-(SENSIBILITA!N4/PARAMETRI!$B$4*SCENARIO!B4)*LN(SENSIBILITA!N4/PARAMETRI!$B$4*SCENARIO!B4),0)</x:f>
        <x:v>0.20643846561472926</x:v>
      </x:c>
    </x:row>
    <x:row r="5">
      <x:c r="A5" t="str">
        <x:v>Valle d'Aosta</x:v>
      </x:c>
      <x:c r="B5" t="n">
        <x:f>-SCENARIO!B5*LN(SCENARIO!B5)</x:f>
        <x:v>0.010931201846388178</x:v>
      </x:c>
      <x:c r="C5" t="n">
        <x:f>-SCENARIO!E5*LN(SCENARIO!E5)</x:f>
        <x:v>0.009055752385949639</x:v>
      </x:c>
      <x:c r="D5" t="n">
        <x:f>-SCENARIO!J5*LN(SCENARIO!J5)</x:f>
        <x:v>0.009778246670322226</x:v>
      </x:c>
      <x:c r="E5" t="n">
        <x:f>100*SCENARIO!B5*ABS(SCENARIO!I5-SCENARIO!K5)</x:f>
        <x:v>0.00022965556414279614</x:v>
      </x:c>
      <x:c r="F5" t="n">
        <x:f>IF(SENSIBILITA!J5/PARAMETRI!$B$4*SCENARIO!B5&gt;0,-(SENSIBILITA!J5/PARAMETRI!$B$4*SCENARIO!B5)*LN(SENSIBILITA!J5/PARAMETRI!$B$4*SCENARIO!B5),0)</x:f>
        <x:v>0.008818225751581385</x:v>
      </x:c>
      <x:c r="G5" t="n">
        <x:f>IF(SENSIBILITA!K5/PARAMETRI!$B$4*SCENARIO!B5&gt;0,-(SENSIBILITA!K5/PARAMETRI!$B$4*SCENARIO!B5)*LN(SENSIBILITA!K5/PARAMETRI!$B$4*SCENARIO!B5),0)</x:f>
        <x:v>0.01059231703818714</x:v>
      </x:c>
      <x:c r="H5" t="n">
        <x:f>IF(SENSIBILITA!L5/PARAMETRI!$B$4*SCENARIO!B5&gt;0,-(SENSIBILITA!L5/PARAMETRI!$B$4*SCENARIO!B5)*LN(SENSIBILITA!L5/PARAMETRI!$B$4*SCENARIO!B5),0)</x:f>
        <x:v>0.011554607257512605</x:v>
      </x:c>
      <x:c r="I5" t="n">
        <x:f>IF(SENSIBILITA!M5/PARAMETRI!$B$4*SCENARIO!B5&gt;0,-(SENSIBILITA!M5/PARAMETRI!$B$4*SCENARIO!B5)*LN(SENSIBILITA!M5/PARAMETRI!$B$4*SCENARIO!B5),0)</x:f>
        <x:v>0.011182522465134332</x:v>
      </x:c>
      <x:c r="J5" t="n">
        <x:f>IF(SENSIBILITA!N5/PARAMETRI!$B$4*SCENARIO!B5&gt;0,-(SENSIBILITA!N5/PARAMETRI!$B$4*SCENARIO!B5)*LN(SENSIBILITA!N5/PARAMETRI!$B$4*SCENARIO!B5),0)</x:f>
        <x:v>0.009150930796845506</x:v>
      </x:c>
    </x:row>
    <x:row r="6">
      <x:c r="A6" t="str">
        <x:v>Liguria</x:v>
      </x:c>
      <x:c r="B6" t="n">
        <x:f>-SCENARIO!B6*LN(SCENARIO!B6)</x:f>
        <x:v>0.0972610983110914</x:v>
      </x:c>
      <x:c r="C6" t="n">
        <x:f>-SCENARIO!E6*LN(SCENARIO!E6)</x:f>
        <x:v>0.10933764935943079</x:v>
      </x:c>
      <x:c r="D6" t="n">
        <x:f>-SCENARIO!J6*LN(SCENARIO!J6)</x:f>
        <x:v>0.09316567736879922</x:v>
      </x:c>
      <x:c r="E6" t="n">
        <x:f>100*SCENARIO!B6*ABS(SCENARIO!I6-SCENARIO!K6)</x:f>
        <x:v>0.030521237521961654</x:v>
      </x:c>
      <x:c r="F6" t="n">
        <x:f>IF(SENSIBILITA!J6/PARAMETRI!$B$4*SCENARIO!B6&gt;0,-(SENSIBILITA!J6/PARAMETRI!$B$4*SCENARIO!B6)*LN(SENSIBILITA!J6/PARAMETRI!$B$4*SCENARIO!B6),0)</x:f>
        <x:v>0.10762728641829933</x:v>
      </x:c>
      <x:c r="G6" t="n">
        <x:f>IF(SENSIBILITA!K6/PARAMETRI!$B$4*SCENARIO!B6&gt;0,-(SENSIBILITA!K6/PARAMETRI!$B$4*SCENARIO!B6)*LN(SENSIBILITA!K6/PARAMETRI!$B$4*SCENARIO!B6),0)</x:f>
        <x:v>0.09970457664807816</x:v>
      </x:c>
      <x:c r="H6" t="n">
        <x:f>IF(SENSIBILITA!L6/PARAMETRI!$B$4*SCENARIO!B6&gt;0,-(SENSIBILITA!L6/PARAMETRI!$B$4*SCENARIO!B6)*LN(SENSIBILITA!L6/PARAMETRI!$B$4*SCENARIO!B6),0)</x:f>
        <x:v>0.09456572681314758</x:v>
      </x:c>
      <x:c r="I6" t="n">
        <x:f>IF(SENSIBILITA!M6/PARAMETRI!$B$4*SCENARIO!B6&gt;0,-(SENSIBILITA!M6/PARAMETRI!$B$4*SCENARIO!B6)*LN(SENSIBILITA!M6/PARAMETRI!$B$4*SCENARIO!B6),0)</x:f>
        <x:v>0.09556050681118204</x:v>
      </x:c>
      <x:c r="J6" t="n">
        <x:f>IF(SENSIBILITA!N6/PARAMETRI!$B$4*SCENARIO!B6&gt;0,-(SENSIBILITA!N6/PARAMETRI!$B$4*SCENARIO!B6)*LN(SENSIBILITA!N6/PARAMETRI!$B$4*SCENARIO!B6),0)</x:f>
        <x:v>0.10688072594569119</x:v>
      </x:c>
    </x:row>
    <x:row r="7">
      <x:c r="A7" t="str">
        <x:v>Lombardia</x:v>
      </x:c>
      <x:c r="B7" t="n">
        <x:f>-SCENARIO!B7*LN(SCENARIO!B7)</x:f>
        <x:v>0.3091864309740314</x:v>
      </x:c>
      <x:c r="C7" t="n">
        <x:f>-SCENARIO!E7*LN(SCENARIO!E7)</x:f>
        <x:v>0.2858490084603685</x:v>
      </x:c>
      <x:c r="D7" t="n">
        <x:f>-SCENARIO!J7*LN(SCENARIO!J7)</x:f>
        <x:v>0.33015312424466786</x:v>
      </x:c>
      <x:c r="E7" t="n">
        <x:f>100*SCENARIO!B7*ABS(SCENARIO!I7-SCENARIO!K7)</x:f>
        <x:v>0.1676036130098624</x:v>
      </x:c>
      <x:c r="F7" t="n">
        <x:f>IF(SENSIBILITA!J7/PARAMETRI!$B$4*SCENARIO!B7&gt;0,-(SENSIBILITA!J7/PARAMETRI!$B$4*SCENARIO!B7)*LN(SENSIBILITA!J7/PARAMETRI!$B$4*SCENARIO!B7),0)</x:f>
        <x:v>0.3157038320864579</x:v>
      </x:c>
      <x:c r="G7" t="n">
        <x:f>IF(SENSIBILITA!K7/PARAMETRI!$B$4*SCENARIO!B7&gt;0,-(SENSIBILITA!K7/PARAMETRI!$B$4*SCENARIO!B7)*LN(SENSIBILITA!K7/PARAMETRI!$B$4*SCENARIO!B7),0)</x:f>
        <x:v>0.3169169567581632</x:v>
      </x:c>
      <x:c r="H7" t="n">
        <x:f>IF(SENSIBILITA!L7/PARAMETRI!$B$4*SCENARIO!B7&gt;0,-(SENSIBILITA!L7/PARAMETRI!$B$4*SCENARIO!B7)*LN(SENSIBILITA!L7/PARAMETRI!$B$4*SCENARIO!B7),0)</x:f>
        <x:v>0.318108746538377</x:v>
      </x:c>
      <x:c r="I7" t="n">
        <x:f>IF(SENSIBILITA!M7/PARAMETRI!$B$4*SCENARIO!B7&gt;0,-(SENSIBILITA!M7/PARAMETRI!$B$4*SCENARIO!B7)*LN(SENSIBILITA!M7/PARAMETRI!$B$4*SCENARIO!B7),0)</x:f>
        <x:v>0.3289188792353478</x:v>
      </x:c>
      <x:c r="J7" t="n">
        <x:f>IF(SENSIBILITA!N7/PARAMETRI!$B$4*SCENARIO!B7&gt;0,-(SENSIBILITA!N7/PARAMETRI!$B$4*SCENARIO!B7)*LN(SENSIBILITA!N7/PARAMETRI!$B$4*SCENARIO!B7),0)</x:f>
        <x:v>0.3067437663438921</x:v>
      </x:c>
    </x:row>
    <x:row r="8">
      <x:c r="A8" t="str">
        <x:v>Trentino-Alto Adige</x:v>
      </x:c>
      <x:c r="B8" t="n">
        <x:f>-SCENARIO!B8*LN(SCENARIO!B8)</x:f>
        <x:v>0.07010198469629632</x:v>
      </x:c>
      <x:c r="C8" t="n">
        <x:f>-SCENARIO!E8*LN(SCENARIO!E8)</x:f>
        <x:v>0.05306385704390741</x:v>
      </x:c>
      <x:c r="D8" t="n">
        <x:f>-SCENARIO!J8*LN(SCENARIO!J8)</x:f>
        <x:v>0.05431915004461342</x:v>
      </x:c>
      <x:c r="E8" t="n">
        <x:f>100*SCENARIO!B8*ABS(SCENARIO!I8-SCENARIO!K8)</x:f>
        <x:v>0.02314558908177844</x:v>
      </x:c>
      <x:c r="F8" t="n">
        <x:f>IF(SENSIBILITA!J8/PARAMETRI!$B$4*SCENARIO!B8&gt;0,-(SENSIBILITA!J8/PARAMETRI!$B$4*SCENARIO!B8)*LN(SENSIBILITA!J8/PARAMETRI!$B$4*SCENARIO!B8),0)</x:f>
        <x:v>0.06648829855739781</x:v>
      </x:c>
      <x:c r="G8" t="n">
        <x:f>IF(SENSIBILITA!K8/PARAMETRI!$B$4*SCENARIO!B8&gt;0,-(SENSIBILITA!K8/PARAMETRI!$B$4*SCENARIO!B8)*LN(SENSIBILITA!K8/PARAMETRI!$B$4*SCENARIO!B8),0)</x:f>
        <x:v>0.06183459372866776</x:v>
      </x:c>
      <x:c r="H8" t="n">
        <x:f>IF(SENSIBILITA!L8/PARAMETRI!$B$4*SCENARIO!B8&gt;0,-(SENSIBILITA!L8/PARAMETRI!$B$4*SCENARIO!B8)*LN(SENSIBILITA!L8/PARAMETRI!$B$4*SCENARIO!B8),0)</x:f>
        <x:v>0.0648135474863128</x:v>
      </x:c>
      <x:c r="I8" t="n">
        <x:f>IF(SENSIBILITA!M8/PARAMETRI!$B$4*SCENARIO!B8&gt;0,-(SENSIBILITA!M8/PARAMETRI!$B$4*SCENARIO!B8)*LN(SENSIBILITA!M8/PARAMETRI!$B$4*SCENARIO!B8),0)</x:f>
        <x:v>0.06554635797475936</x:v>
      </x:c>
      <x:c r="J8" t="n">
        <x:f>IF(SENSIBILITA!N8/PARAMETRI!$B$4*SCENARIO!B8&gt;0,-(SENSIBILITA!N8/PARAMETRI!$B$4*SCENARIO!B8)*LN(SENSIBILITA!N8/PARAMETRI!$B$4*SCENARIO!B8),0)</x:f>
        <x:v>0.06416983076661158</x:v>
      </x:c>
    </x:row>
    <x:row r="9">
      <x:c r="A9" t="str">
        <x:v>Veneto</x:v>
      </x:c>
      <x:c r="B9" t="n">
        <x:f>-SCENARIO!B9*LN(SCENARIO!B9)</x:f>
        <x:v>0.21477051206569364</x:v>
      </x:c>
      <x:c r="C9" t="n">
        <x:f>-SCENARIO!E9*LN(SCENARIO!E9)</x:f>
        <x:v>0.23274119427714732</x:v>
      </x:c>
      <x:c r="D9" t="n">
        <x:f>-SCENARIO!J9*LN(SCENARIO!J9)</x:f>
        <x:v>0.2531403236977935</x:v>
      </x:c>
      <x:c r="E9" t="n">
        <x:f>100*SCENARIO!B9*ABS(SCENARIO!I9-SCENARIO!K9)</x:f>
        <x:v>0.039201601037156975</x:v>
      </x:c>
      <x:c r="F9" t="n">
        <x:f>IF(SENSIBILITA!J9/PARAMETRI!$B$4*SCENARIO!B9&gt;0,-(SENSIBILITA!J9/PARAMETRI!$B$4*SCENARIO!B9)*LN(SENSIBILITA!J9/PARAMETRI!$B$4*SCENARIO!B9),0)</x:f>
        <x:v>0.24696882508548443</x:v>
      </x:c>
      <x:c r="G9" t="n">
        <x:f>IF(SENSIBILITA!K9/PARAMETRI!$B$4*SCENARIO!B9&gt;0,-(SENSIBILITA!K9/PARAMETRI!$B$4*SCENARIO!B9)*LN(SENSIBILITA!K9/PARAMETRI!$B$4*SCENARIO!B9),0)</x:f>
        <x:v>0.24893806942218646</x:v>
      </x:c>
      <x:c r="H9" t="n">
        <x:f>IF(SENSIBILITA!L9/PARAMETRI!$B$4*SCENARIO!B9&gt;0,-(SENSIBILITA!L9/PARAMETRI!$B$4*SCENARIO!B9)*LN(SENSIBILITA!L9/PARAMETRI!$B$4*SCENARIO!B9),0)</x:f>
        <x:v>0.2350217702635498</x:v>
      </x:c>
      <x:c r="I9" t="n">
        <x:f>IF(SENSIBILITA!M9/PARAMETRI!$B$4*SCENARIO!B9&gt;0,-(SENSIBILITA!M9/PARAMETRI!$B$4*SCENARIO!B9)*LN(SENSIBILITA!M9/PARAMETRI!$B$4*SCENARIO!B9),0)</x:f>
        <x:v>0.2585505558141257</x:v>
      </x:c>
      <x:c r="J9" t="n">
        <x:f>IF(SENSIBILITA!N9/PARAMETRI!$B$4*SCENARIO!B9&gt;0,-(SENSIBILITA!N9/PARAMETRI!$B$4*SCENARIO!B9)*LN(SENSIBILITA!N9/PARAMETRI!$B$4*SCENARIO!B9),0)</x:f>
        <x:v>0.234458276692569</x:v>
      </x:c>
    </x:row>
    <x:row r="10">
      <x:c r="A10" t="str">
        <x:v>Friuli-Venezia Giulia</x:v>
      </x:c>
      <x:c r="B10" t="n">
        <x:f>-SCENARIO!B10*LN(SCENARIO!B10)</x:f>
        <x:v>0.08050995052152128</x:v>
      </x:c>
      <x:c r="C10" t="n">
        <x:f>-SCENARIO!E10*LN(SCENARIO!E10)</x:f>
        <x:v>0.08963589906661361</x:v>
      </x:c>
      <x:c r="D10" t="n">
        <x:f>-SCENARIO!J10*LN(SCENARIO!J10)</x:f>
        <x:v>0.09720162936099773</x:v>
      </x:c>
      <x:c r="E10" t="n">
        <x:f>100*SCENARIO!B10*ABS(SCENARIO!I10-SCENARIO!K10)</x:f>
        <x:v>0.010801607089928257</x:v>
      </x:c>
      <x:c r="F10" t="n">
        <x:f>IF(SENSIBILITA!J10/PARAMETRI!$B$4*SCENARIO!B10&gt;0,-(SENSIBILITA!J10/PARAMETRI!$B$4*SCENARIO!B10)*LN(SENSIBILITA!J10/PARAMETRI!$B$4*SCENARIO!B10),0)</x:f>
        <x:v>0.08762687149540464</x:v>
      </x:c>
      <x:c r="G10" t="n">
        <x:f>IF(SENSIBILITA!K10/PARAMETRI!$B$4*SCENARIO!B10&gt;0,-(SENSIBILITA!K10/PARAMETRI!$B$4*SCENARIO!B10)*LN(SENSIBILITA!K10/PARAMETRI!$B$4*SCENARIO!B10),0)</x:f>
        <x:v>0.1026967227978127</x:v>
      </x:c>
      <x:c r="H10" t="n">
        <x:f>IF(SENSIBILITA!L10/PARAMETRI!$B$4*SCENARIO!B10&gt;0,-(SENSIBILITA!L10/PARAMETRI!$B$4*SCENARIO!B10)*LN(SENSIBILITA!L10/PARAMETRI!$B$4*SCENARIO!B10),0)</x:f>
        <x:v>0.09435745934793421</x:v>
      </x:c>
      <x:c r="I10" t="n">
        <x:f>IF(SENSIBILITA!M10/PARAMETRI!$B$4*SCENARIO!B10&gt;0,-(SENSIBILITA!M10/PARAMETRI!$B$4*SCENARIO!B10)*LN(SENSIBILITA!M10/PARAMETRI!$B$4*SCENARIO!B10),0)</x:f>
        <x:v>0.11020888690046089</x:v>
      </x:c>
      <x:c r="J10" t="n">
        <x:f>IF(SENSIBILITA!N10/PARAMETRI!$B$4*SCENARIO!B10&gt;0,-(SENSIBILITA!N10/PARAMETRI!$B$4*SCENARIO!B10)*LN(SENSIBILITA!N10/PARAMETRI!$B$4*SCENARIO!B10),0)</x:f>
        <x:v>0.08128793387495864</x:v>
      </x:c>
    </x:row>
    <x:row r="11">
      <x:c r="A11" t="str">
        <x:v>Emilia-Romagna</x:v>
      </x:c>
      <x:c r="B11" t="n">
        <x:f>-SCENARIO!B11*LN(SCENARIO!B11)</x:f>
        <x:v>0.20998815334709198</x:v>
      </x:c>
      <x:c r="C11" t="n">
        <x:f>-SCENARIO!E11*LN(SCENARIO!E11)</x:f>
        <x:v>0.16900899439867323</x:v>
      </x:c>
      <x:c r="D11" t="n">
        <x:f>-SCENARIO!J11*LN(SCENARIO!J11)</x:f>
        <x:v>0.19867248604021495</x:v>
      </x:c>
      <x:c r="E11" t="n">
        <x:f>100*SCENARIO!B11*ABS(SCENARIO!I11-SCENARIO!K11)</x:f>
        <x:v>0.07905200934541436</x:v>
      </x:c>
      <x:c r="F11" t="n">
        <x:f>IF(SENSIBILITA!J11/PARAMETRI!$B$4*SCENARIO!B11&gt;0,-(SENSIBILITA!J11/PARAMETRI!$B$4*SCENARIO!B11)*LN(SENSIBILITA!J11/PARAMETRI!$B$4*SCENARIO!B11),0)</x:f>
        <x:v>0.1811015149893253</x:v>
      </x:c>
      <x:c r="G11" t="n">
        <x:f>IF(SENSIBILITA!K11/PARAMETRI!$B$4*SCENARIO!B11&gt;0,-(SENSIBILITA!K11/PARAMETRI!$B$4*SCENARIO!B11)*LN(SENSIBILITA!K11/PARAMETRI!$B$4*SCENARIO!B11),0)</x:f>
        <x:v>0.17952061754072135</x:v>
      </x:c>
      <x:c r="H11" t="n">
        <x:f>IF(SENSIBILITA!L11/PARAMETRI!$B$4*SCENARIO!B11&gt;0,-(SENSIBILITA!L11/PARAMETRI!$B$4*SCENARIO!B11)*LN(SENSIBILITA!L11/PARAMETRI!$B$4*SCENARIO!B11),0)</x:f>
        <x:v>0.18443800422036646</x:v>
      </x:c>
      <x:c r="I11" t="n">
        <x:f>IF(SENSIBILITA!M11/PARAMETRI!$B$4*SCENARIO!B11&gt;0,-(SENSIBILITA!M11/PARAMETRI!$B$4*SCENARIO!B11)*LN(SENSIBILITA!M11/PARAMETRI!$B$4*SCENARIO!B11),0)</x:f>
        <x:v>0.18376114667546803</x:v>
      </x:c>
      <x:c r="J11" t="n">
        <x:f>IF(SENSIBILITA!N11/PARAMETRI!$B$4*SCENARIO!B11&gt;0,-(SENSIBILITA!N11/PARAMETRI!$B$4*SCENARIO!B11)*LN(SENSIBILITA!N11/PARAMETRI!$B$4*SCENARIO!B11),0)</x:f>
        <x:v>0.1797813797040921</x:v>
      </x:c>
    </x:row>
    <x:row r="12">
      <x:c r="A12" t="str">
        <x:v>Toscana</x:v>
      </x:c>
      <x:c r="B12" t="n">
        <x:f>-SCENARIO!B12*LN(SCENARIO!B12)</x:f>
        <x:v>0.18802505844685768</x:v>
      </x:c>
      <x:c r="C12" t="n">
        <x:f>-SCENARIO!E12*LN(SCENARIO!E12)</x:f>
        <x:v>0.1463020144974233</x:v>
      </x:c>
      <x:c r="D12" t="n">
        <x:f>-SCENARIO!J12*LN(SCENARIO!J12)</x:f>
        <x:v>0.17464159855786476</x:v>
      </x:c>
      <x:c r="E12" t="n">
        <x:f>100*SCENARIO!B12*ABS(SCENARIO!I12-SCENARIO!K12)</x:f>
        <x:v>0.005368835351606811</x:v>
      </x:c>
      <x:c r="F12" t="n">
        <x:f>IF(SENSIBILITA!J12/PARAMETRI!$B$4*SCENARIO!B12&gt;0,-(SENSIBILITA!J12/PARAMETRI!$B$4*SCENARIO!B12)*LN(SENSIBILITA!J12/PARAMETRI!$B$4*SCENARIO!B12),0)</x:f>
        <x:v>0.18233799799527775</x:v>
      </x:c>
      <x:c r="G12" t="n">
        <x:f>IF(SENSIBILITA!K12/PARAMETRI!$B$4*SCENARIO!B12&gt;0,-(SENSIBILITA!K12/PARAMETRI!$B$4*SCENARIO!B12)*LN(SENSIBILITA!K12/PARAMETRI!$B$4*SCENARIO!B12),0)</x:f>
        <x:v>0.1582979649092384</x:v>
      </x:c>
      <x:c r="H12" t="n">
        <x:f>IF(SENSIBILITA!L12/PARAMETRI!$B$4*SCENARIO!B12&gt;0,-(SENSIBILITA!L12/PARAMETRI!$B$4*SCENARIO!B12)*LN(SENSIBILITA!L12/PARAMETRI!$B$4*SCENARIO!B12),0)</x:f>
        <x:v>0.1623485887132393</x:v>
      </x:c>
      <x:c r="I12" t="n">
        <x:f>IF(SENSIBILITA!M12/PARAMETRI!$B$4*SCENARIO!B12&gt;0,-(SENSIBILITA!M12/PARAMETRI!$B$4*SCENARIO!B12)*LN(SENSIBILITA!M12/PARAMETRI!$B$4*SCENARIO!B12),0)</x:f>
        <x:v>0.16337132761238754</x:v>
      </x:c>
      <x:c r="J12" t="n">
        <x:f>IF(SENSIBILITA!N12/PARAMETRI!$B$4*SCENARIO!B12&gt;0,-(SENSIBILITA!N12/PARAMETRI!$B$4*SCENARIO!B12)*LN(SENSIBILITA!N12/PARAMETRI!$B$4*SCENARIO!B12),0)</x:f>
        <x:v>0.17597549769057877</x:v>
      </x:c>
    </x:row>
    <x:row r="13">
      <x:c r="A13" t="str">
        <x:v>Umbria</x:v>
      </x:c>
      <x:c r="B13" t="n">
        <x:f>-SCENARIO!B13*LN(SCENARIO!B13)</x:f>
        <x:v>0.06891384800188478</x:v>
      </x:c>
      <x:c r="C13" t="n">
        <x:f>-SCENARIO!E13*LN(SCENARIO!E13)</x:f>
        <x:v>0.058051701294523285</x:v>
      </x:c>
      <x:c r="D13" t="n">
        <x:f>-SCENARIO!J13*LN(SCENARIO!J13)</x:f>
        <x:v>0.07112627597840813</x:v>
      </x:c>
      <x:c r="E13" t="n">
        <x:f>100*SCENARIO!B13*ABS(SCENARIO!I13-SCENARIO!K13)</x:f>
        <x:v>0.034772805915256895</x:v>
      </x:c>
      <x:c r="F13" t="n">
        <x:f>IF(SENSIBILITA!J13/PARAMETRI!$B$4*SCENARIO!B13&gt;0,-(SENSIBILITA!J13/PARAMETRI!$B$4*SCENARIO!B13)*LN(SENSIBILITA!J13/PARAMETRI!$B$4*SCENARIO!B13),0)</x:f>
        <x:v>0.05225774008486521</x:v>
      </x:c>
      <x:c r="G13" t="n">
        <x:f>IF(SENSIBILITA!K13/PARAMETRI!$B$4*SCENARIO!B13&gt;0,-(SENSIBILITA!K13/PARAMETRI!$B$4*SCENARIO!B13)*LN(SENSIBILITA!K13/PARAMETRI!$B$4*SCENARIO!B13),0)</x:f>
        <x:v>0.060718905686427</x:v>
      </x:c>
      <x:c r="H13" t="n">
        <x:f>IF(SENSIBILITA!L13/PARAMETRI!$B$4*SCENARIO!B13&gt;0,-(SENSIBILITA!L13/PARAMETRI!$B$4*SCENARIO!B13)*LN(SENSIBILITA!L13/PARAMETRI!$B$4*SCENARIO!B13),0)</x:f>
        <x:v>0.06090404713991135</x:v>
      </x:c>
      <x:c r="I13" t="n">
        <x:f>IF(SENSIBILITA!M13/PARAMETRI!$B$4*SCENARIO!B13&gt;0,-(SENSIBILITA!M13/PARAMETRI!$B$4*SCENARIO!B13)*LN(SENSIBILITA!M13/PARAMETRI!$B$4*SCENARIO!B13),0)</x:f>
        <x:v>0.062004343417574465</x:v>
      </x:c>
      <x:c r="J13" t="n">
        <x:f>IF(SENSIBILITA!N13/PARAMETRI!$B$4*SCENARIO!B13&gt;0,-(SENSIBILITA!N13/PARAMETRI!$B$4*SCENARIO!B13)*LN(SENSIBILITA!N13/PARAMETRI!$B$4*SCENARIO!B13),0)</x:f>
        <x:v>0.053118943148385174</x:v>
      </x:c>
    </x:row>
    <x:row r="14">
      <x:c r="A14" t="str">
        <x:v>Marche</x:v>
      </x:c>
      <x:c r="B14" t="n">
        <x:f>-SCENARIO!B14*LN(SCENARIO!B14)</x:f>
        <x:v>0.10083135094515186</x:v>
      </x:c>
      <x:c r="C14" t="n">
        <x:f>-SCENARIO!E14*LN(SCENARIO!E14)</x:f>
        <x:v>0.09813326110815139</x:v>
      </x:c>
      <x:c r="D14" t="n">
        <x:f>-SCENARIO!J14*LN(SCENARIO!J14)</x:f>
        <x:v>0.10697611355604486</x:v>
      </x:c>
      <x:c r="E14" t="n">
        <x:f>100*SCENARIO!B14*ABS(SCENARIO!I14-SCENARIO!K14)</x:f>
        <x:v>0.02411740490039855</x:v>
      </x:c>
      <x:c r="F14" t="n">
        <x:f>IF(SENSIBILITA!J14/PARAMETRI!$B$4*SCENARIO!B14&gt;0,-(SENSIBILITA!J14/PARAMETRI!$B$4*SCENARIO!B14)*LN(SENSIBILITA!J14/PARAMETRI!$B$4*SCENARIO!B14),0)</x:f>
        <x:v>0.09754637792700403</x:v>
      </x:c>
      <x:c r="G14" t="n">
        <x:f>IF(SENSIBILITA!K14/PARAMETRI!$B$4*SCENARIO!B14&gt;0,-(SENSIBILITA!K14/PARAMETRI!$B$4*SCENARIO!B14)*LN(SENSIBILITA!K14/PARAMETRI!$B$4*SCENARIO!B14),0)</x:f>
        <x:v>0.10026335938516652</x:v>
      </x:c>
      <x:c r="H14" t="n">
        <x:f>IF(SENSIBILITA!L14/PARAMETRI!$B$4*SCENARIO!B14&gt;0,-(SENSIBILITA!L14/PARAMETRI!$B$4*SCENARIO!B14)*LN(SENSIBILITA!L14/PARAMETRI!$B$4*SCENARIO!B14),0)</x:f>
        <x:v>0.09773600579264183</x:v>
      </x:c>
      <x:c r="I14" t="n">
        <x:f>IF(SENSIBILITA!M14/PARAMETRI!$B$4*SCENARIO!B14&gt;0,-(SENSIBILITA!M14/PARAMETRI!$B$4*SCENARIO!B14)*LN(SENSIBILITA!M14/PARAMETRI!$B$4*SCENARIO!B14),0)</x:f>
        <x:v>0.10173484755443792</x:v>
      </x:c>
      <x:c r="J14" t="n">
        <x:f>IF(SENSIBILITA!N14/PARAMETRI!$B$4*SCENARIO!B14&gt;0,-(SENSIBILITA!N14/PARAMETRI!$B$4*SCENARIO!B14)*LN(SENSIBILITA!N14/PARAMETRI!$B$4*SCENARIO!B14),0)</x:f>
        <x:v>0.09601910992571588</x:v>
      </x:c>
    </x:row>
    <x:row r="15">
      <x:c r="A15" t="str">
        <x:v>Lazio</x:v>
      </x:c>
      <x:c r="B15" t="n">
        <x:f>-SCENARIO!B15*LN(SCENARIO!B15)</x:f>
        <x:v>0.2158153247849785</x:v>
      </x:c>
      <x:c r="C15" t="n">
        <x:f>-SCENARIO!E15*LN(SCENARIO!E15)</x:f>
        <x:v>0.2322729137085778</x:v>
      </x:c>
      <x:c r="D15" t="n">
        <x:f>-SCENARIO!J15*LN(SCENARIO!J15)</x:f>
        <x:v>0.22211326413389879</x:v>
      </x:c>
      <x:c r="E15" t="n">
        <x:f>100*SCENARIO!B15*ABS(SCENARIO!I15-SCENARIO!K15)</x:f>
        <x:v>0.08977329547934795</x:v>
      </x:c>
      <x:c r="F15" t="n">
        <x:f>IF(SENSIBILITA!J15/PARAMETRI!$B$4*SCENARIO!B15&gt;0,-(SENSIBILITA!J15/PARAMETRI!$B$4*SCENARIO!B15)*LN(SENSIBILITA!J15/PARAMETRI!$B$4*SCENARIO!B15),0)</x:f>
        <x:v>0.19471819146628588</x:v>
      </x:c>
      <x:c r="G15" t="n">
        <x:f>IF(SENSIBILITA!K15/PARAMETRI!$B$4*SCENARIO!B15&gt;0,-(SENSIBILITA!K15/PARAMETRI!$B$4*SCENARIO!B15)*LN(SENSIBILITA!K15/PARAMETRI!$B$4*SCENARIO!B15),0)</x:f>
        <x:v>0.21727297292469108</x:v>
      </x:c>
      <x:c r="H15" t="n">
        <x:f>IF(SENSIBILITA!L15/PARAMETRI!$B$4*SCENARIO!B15&gt;0,-(SENSIBILITA!L15/PARAMETRI!$B$4*SCENARIO!B15)*LN(SENSIBILITA!L15/PARAMETRI!$B$4*SCENARIO!B15),0)</x:f>
        <x:v>0.2192928056664283</x:v>
      </x:c>
      <x:c r="I15" t="n">
        <x:f>IF(SENSIBILITA!M15/PARAMETRI!$B$4*SCENARIO!B15&gt;0,-(SENSIBILITA!M15/PARAMETRI!$B$4*SCENARIO!B15)*LN(SENSIBILITA!M15/PARAMETRI!$B$4*SCENARIO!B15),0)</x:f>
        <x:v>0.20891187504975492</x:v>
      </x:c>
      <x:c r="J15" t="n">
        <x:f>IF(SENSIBILITA!N15/PARAMETRI!$B$4*SCENARIO!B15&gt;0,-(SENSIBILITA!N15/PARAMETRI!$B$4*SCENARIO!B15)*LN(SENSIBILITA!N15/PARAMETRI!$B$4*SCENARIO!B15),0)</x:f>
        <x:v>0.20651805714876095</x:v>
      </x:c>
    </x:row>
    <x:row r="16">
      <x:c r="A16" t="str">
        <x:v>Abruzzo</x:v>
      </x:c>
      <x:c r="B16" t="n">
        <x:f>-SCENARIO!B16*LN(SCENARIO!B16)</x:f>
        <x:v>0.08322995980894819</x:v>
      </x:c>
      <x:c r="C16" t="n">
        <x:f>-SCENARIO!E16*LN(SCENARIO!E16)</x:f>
        <x:v>0.09919510015976143</x:v>
      </x:c>
      <x:c r="D16" t="n">
        <x:f>-SCENARIO!J16*LN(SCENARIO!J16)</x:f>
        <x:v>0.08873462897227642</x:v>
      </x:c>
      <x:c r="E16" t="n">
        <x:f>100*SCENARIO!B16*ABS(SCENARIO!I16-SCENARIO!K16)</x:f>
        <x:v>0.02736457398141357</x:v>
      </x:c>
      <x:c r="F16" t="n">
        <x:f>IF(SENSIBILITA!J16/PARAMETRI!$B$4*SCENARIO!B16&gt;0,-(SENSIBILITA!J16/PARAMETRI!$B$4*SCENARIO!B16)*LN(SENSIBILITA!J16/PARAMETRI!$B$4*SCENARIO!B16),0)</x:f>
        <x:v>0.072770421774336</x:v>
      </x:c>
      <x:c r="G16" t="n">
        <x:f>IF(SENSIBILITA!K16/PARAMETRI!$B$4*SCENARIO!B16&gt;0,-(SENSIBILITA!K16/PARAMETRI!$B$4*SCENARIO!B16)*LN(SENSIBILITA!K16/PARAMETRI!$B$4*SCENARIO!B16),0)</x:f>
        <x:v>0.0852790460220203</x:v>
      </x:c>
      <x:c r="H16" t="n">
        <x:f>IF(SENSIBILITA!L16/PARAMETRI!$B$4*SCENARIO!B16&gt;0,-(SENSIBILITA!L16/PARAMETRI!$B$4*SCENARIO!B16)*LN(SENSIBILITA!L16/PARAMETRI!$B$4*SCENARIO!B16),0)</x:f>
        <x:v>0.08681832836687337</x:v>
      </x:c>
      <x:c r="I16" t="n">
        <x:f>IF(SENSIBILITA!M16/PARAMETRI!$B$4*SCENARIO!B16&gt;0,-(SENSIBILITA!M16/PARAMETRI!$B$4*SCENARIO!B16)*LN(SENSIBILITA!M16/PARAMETRI!$B$4*SCENARIO!B16),0)</x:f>
        <x:v>0.07761914192454741</x:v>
      </x:c>
      <x:c r="J16" t="n">
        <x:f>IF(SENSIBILITA!N16/PARAMETRI!$B$4*SCENARIO!B16&gt;0,-(SENSIBILITA!N16/PARAMETRI!$B$4*SCENARIO!B16)*LN(SENSIBILITA!N16/PARAMETRI!$B$4*SCENARIO!B16),0)</x:f>
        <x:v>0.08144923830632059</x:v>
      </x:c>
    </x:row>
    <x:row r="17">
      <x:c r="A17" t="str">
        <x:v>Molise</x:v>
      </x:c>
      <x:c r="B17" t="n">
        <x:f>-SCENARIO!B17*LN(SCENARIO!B17)</x:f>
        <x:v>0.028518207013038765</x:v>
      </x:c>
      <x:c r="C17" t="n">
        <x:f>-SCENARIO!E17*LN(SCENARIO!E17)</x:f>
        <x:v>0.0356610738319821</x:v>
      </x:c>
      <x:c r="D17" t="n">
        <x:f>-SCENARIO!J17*LN(SCENARIO!J17)</x:f>
        <x:v>0.03215983569129838</x:v>
      </x:c>
      <x:c r="E17" t="n">
        <x:f>100*SCENARIO!B17*ABS(SCENARIO!I17-SCENARIO!K17)</x:f>
        <x:v>0.001872657655790377</x:v>
      </x:c>
      <x:c r="F17" t="n">
        <x:f>IF(SENSIBILITA!J17/PARAMETRI!$B$4*SCENARIO!B17&gt;0,-(SENSIBILITA!J17/PARAMETRI!$B$4*SCENARIO!B17)*LN(SENSIBILITA!J17/PARAMETRI!$B$4*SCENARIO!B17),0)</x:f>
        <x:v>0.031027260377140882</x:v>
      </x:c>
      <x:c r="G17" t="n">
        <x:f>IF(SENSIBILITA!K17/PARAMETRI!$B$4*SCENARIO!B17&gt;0,-(SENSIBILITA!K17/PARAMETRI!$B$4*SCENARIO!B17)*LN(SENSIBILITA!K17/PARAMETRI!$B$4*SCENARIO!B17),0)</x:f>
        <x:v>0.036940781377906365</x:v>
      </x:c>
      <x:c r="H17" t="n">
        <x:f>IF(SENSIBILITA!L17/PARAMETRI!$B$4*SCENARIO!B17&gt;0,-(SENSIBILITA!L17/PARAMETRI!$B$4*SCENARIO!B17)*LN(SENSIBILITA!L17/PARAMETRI!$B$4*SCENARIO!B17),0)</x:f>
        <x:v>0.03367618935840006</x:v>
      </x:c>
      <x:c r="I17" t="n">
        <x:f>IF(SENSIBILITA!M17/PARAMETRI!$B$4*SCENARIO!B17&gt;0,-(SENSIBILITA!M17/PARAMETRI!$B$4*SCENARIO!B17)*LN(SENSIBILITA!M17/PARAMETRI!$B$4*SCENARIO!B17),0)</x:f>
        <x:v>0.03810733765040501</x:v>
      </x:c>
      <x:c r="J17" t="n">
        <x:f>IF(SENSIBILITA!N17/PARAMETRI!$B$4*SCENARIO!B17&gt;0,-(SENSIBILITA!N17/PARAMETRI!$B$4*SCENARIO!B17)*LN(SENSIBILITA!N17/PARAMETRI!$B$4*SCENARIO!B17),0)</x:f>
        <x:v>0.030012314051718402</x:v>
      </x:c>
    </x:row>
    <x:row r="18">
      <x:c r="A18" t="str">
        <x:v>Campania</x:v>
      </x:c>
      <x:c r="B18" t="n">
        <x:f>-SCENARIO!B18*LN(SCENARIO!B18)</x:f>
        <x:v>0.20971617043825863</x:v>
      </x:c>
      <x:c r="C18" t="n">
        <x:f>-SCENARIO!E18*LN(SCENARIO!E18)</x:f>
        <x:v>0.20413856582310808</x:v>
      </x:c>
      <x:c r="D18" t="n">
        <x:f>-SCENARIO!J18*LN(SCENARIO!J18)</x:f>
        <x:v>0.1626575231290943</x:v>
      </x:c>
      <x:c r="E18" t="n">
        <x:f>100*SCENARIO!B18*ABS(SCENARIO!I18-SCENARIO!K18)</x:f>
        <x:v>0.08422284475457237</x:v>
      </x:c>
      <x:c r="F18" t="n">
        <x:f>IF(SENSIBILITA!J18/PARAMETRI!$B$4*SCENARIO!B18&gt;0,-(SENSIBILITA!J18/PARAMETRI!$B$4*SCENARIO!B18)*LN(SENSIBILITA!J18/PARAMETRI!$B$4*SCENARIO!B18),0)</x:f>
        <x:v>0.18097316112955705</x:v>
      </x:c>
      <x:c r="G18" t="n">
        <x:f>IF(SENSIBILITA!K18/PARAMETRI!$B$4*SCENARIO!B18&gt;0,-(SENSIBILITA!K18/PARAMETRI!$B$4*SCENARIO!B18)*LN(SENSIBILITA!K18/PARAMETRI!$B$4*SCENARIO!B18),0)</x:f>
        <x:v>0.18491469032174562</x:v>
      </x:c>
      <x:c r="H18" t="n">
        <x:f>IF(SENSIBILITA!L18/PARAMETRI!$B$4*SCENARIO!B18&gt;0,-(SENSIBILITA!L18/PARAMETRI!$B$4*SCENARIO!B18)*LN(SENSIBILITA!L18/PARAMETRI!$B$4*SCENARIO!B18),0)</x:f>
        <x:v>0.19711475515423352</x:v>
      </x:c>
      <x:c r="I18" t="n">
        <x:f>IF(SENSIBILITA!M18/PARAMETRI!$B$4*SCENARIO!B18&gt;0,-(SENSIBILITA!M18/PARAMETRI!$B$4*SCENARIO!B18)*LN(SENSIBILITA!M18/PARAMETRI!$B$4*SCENARIO!B18),0)</x:f>
        <x:v>0.17230169829809974</x:v>
      </x:c>
      <x:c r="J18" t="n">
        <x:f>IF(SENSIBILITA!N18/PARAMETRI!$B$4*SCENARIO!B18&gt;0,-(SENSIBILITA!N18/PARAMETRI!$B$4*SCENARIO!B18)*LN(SENSIBILITA!N18/PARAMETRI!$B$4*SCENARIO!B18),0)</x:f>
        <x:v>0.19510540303101365</x:v>
      </x:c>
    </x:row>
    <x:row r="19">
      <x:c r="A19" t="str">
        <x:v>Puglia</x:v>
      </x:c>
      <x:c r="B19" t="n">
        <x:f>-SCENARIO!B19*LN(SCENARIO!B19)</x:f>
        <x:v>0.16652828590680577</x:v>
      </x:c>
      <x:c r="C19" t="n">
        <x:f>-SCENARIO!E19*LN(SCENARIO!E19)</x:f>
        <x:v>0.21188994814914455</x:v>
      </x:c>
      <x:c r="D19" t="n">
        <x:f>-SCENARIO!J19*LN(SCENARIO!J19)</x:f>
        <x:v>0.15267768243849267</x:v>
      </x:c>
      <x:c r="E19" t="n">
        <x:f>100*SCENARIO!B19*ABS(SCENARIO!I19-SCENARIO!K19)</x:f>
        <x:v>0.056880594462165174</x:v>
      </x:c>
      <x:c r="F19" t="n">
        <x:f>IF(SENSIBILITA!J19/PARAMETRI!$B$4*SCENARIO!B19&gt;0,-(SENSIBILITA!J19/PARAMETRI!$B$4*SCENARIO!B19)*LN(SENSIBILITA!J19/PARAMETRI!$B$4*SCENARIO!B19),0)</x:f>
        <x:v>0.16709348159360313</x:v>
      </x:c>
      <x:c r="G19" t="n">
        <x:f>IF(SENSIBILITA!K19/PARAMETRI!$B$4*SCENARIO!B19&gt;0,-(SENSIBILITA!K19/PARAMETRI!$B$4*SCENARIO!B19)*LN(SENSIBILITA!K19/PARAMETRI!$B$4*SCENARIO!B19),0)</x:f>
        <x:v>0.1687930120148958</x:v>
      </x:c>
      <x:c r="H19" t="n">
        <x:f>IF(SENSIBILITA!L19/PARAMETRI!$B$4*SCENARIO!B19&gt;0,-(SENSIBILITA!L19/PARAMETRI!$B$4*SCENARIO!B19)*LN(SENSIBILITA!L19/PARAMETRI!$B$4*SCENARIO!B19),0)</x:f>
        <x:v>0.16675765134789003</x:v>
      </x:c>
      <x:c r="I19" t="n">
        <x:f>IF(SENSIBILITA!M19/PARAMETRI!$B$4*SCENARIO!B19&gt;0,-(SENSIBILITA!M19/PARAMETRI!$B$4*SCENARIO!B19)*LN(SENSIBILITA!M19/PARAMETRI!$B$4*SCENARIO!B19),0)</x:f>
        <x:v>0.14343406536414693</x:v>
      </x:c>
      <x:c r="J19" t="n">
        <x:f>IF(SENSIBILITA!N19/PARAMETRI!$B$4*SCENARIO!B19&gt;0,-(SENSIBILITA!N19/PARAMETRI!$B$4*SCENARIO!B19)*LN(SENSIBILITA!N19/PARAMETRI!$B$4*SCENARIO!B19),0)</x:f>
        <x:v>0.18278218340836347</x:v>
      </x:c>
    </x:row>
    <x:row r="20">
      <x:c r="A20" t="str">
        <x:v>Basilicata</x:v>
      </x:c>
      <x:c r="B20" t="n">
        <x:f>-SCENARIO!B20*LN(SCENARIO!B20)</x:f>
        <x:v>0.041902952169862374</x:v>
      </x:c>
      <x:c r="C20" t="n">
        <x:f>-SCENARIO!E20*LN(SCENARIO!E20)</x:f>
        <x:v>0.03973103637251359</x:v>
      </x:c>
      <x:c r="D20" t="n">
        <x:f>-SCENARIO!J20*LN(SCENARIO!J20)</x:f>
        <x:v>0.03571635714956284</x:v>
      </x:c>
      <x:c r="E20" t="n">
        <x:f>100*SCENARIO!B20*ABS(SCENARIO!I20-SCENARIO!K20)</x:f>
        <x:v>0.013162331762991879</x:v>
      </x:c>
      <x:c r="F20" t="n">
        <x:f>IF(SENSIBILITA!J20/PARAMETRI!$B$4*SCENARIO!B20&gt;0,-(SENSIBILITA!J20/PARAMETRI!$B$4*SCENARIO!B20)*LN(SENSIBILITA!J20/PARAMETRI!$B$4*SCENARIO!B20),0)</x:f>
        <x:v>0.04634253038021143</x:v>
      </x:c>
      <x:c r="G20" t="n">
        <x:f>IF(SENSIBILITA!K20/PARAMETRI!$B$4*SCENARIO!B20&gt;0,-(SENSIBILITA!K20/PARAMETRI!$B$4*SCENARIO!B20)*LN(SENSIBILITA!K20/PARAMETRI!$B$4*SCENARIO!B20),0)</x:f>
        <x:v>0.036103452280712</x:v>
      </x:c>
      <x:c r="H20" t="n">
        <x:f>IF(SENSIBILITA!L20/PARAMETRI!$B$4*SCENARIO!B20&gt;0,-(SENSIBILITA!L20/PARAMETRI!$B$4*SCENARIO!B20)*LN(SENSIBILITA!L20/PARAMETRI!$B$4*SCENARIO!B20),0)</x:f>
        <x:v>0.041255241495476984</x:v>
      </x:c>
      <x:c r="I20" t="n">
        <x:f>IF(SENSIBILITA!M20/PARAMETRI!$B$4*SCENARIO!B20&gt;0,-(SENSIBILITA!M20/PARAMETRI!$B$4*SCENARIO!B20)*LN(SENSIBILITA!M20/PARAMETRI!$B$4*SCENARIO!B20),0)</x:f>
        <x:v>0.03334868081259735</x:v>
      </x:c>
      <x:c r="J20" t="n">
        <x:f>IF(SENSIBILITA!N20/PARAMETRI!$B$4*SCENARIO!B20&gt;0,-(SENSIBILITA!N20/PARAMETRI!$B$4*SCENARIO!B20)*LN(SENSIBILITA!N20/PARAMETRI!$B$4*SCENARIO!B20),0)</x:f>
        <x:v>0.04805306931074345</x:v>
      </x:c>
    </x:row>
    <x:row r="21">
      <x:c r="A21" t="str">
        <x:v>Calabria</x:v>
      </x:c>
      <x:c r="B21" t="n">
        <x:f>-SCENARIO!B21*LN(SCENARIO!B21)</x:f>
        <x:v>0.09915972027409685</x:v>
      </x:c>
      <x:c r="C21" t="n">
        <x:f>-SCENARIO!E21*LN(SCENARIO!E21)</x:f>
        <x:v>0.12748533552064287</x:v>
      </x:c>
      <x:c r="D21" t="n">
        <x:f>-SCENARIO!J21*LN(SCENARIO!J21)</x:f>
        <x:v>0.08321497352138463</x:v>
      </x:c>
      <x:c r="E21" t="n">
        <x:f>100*SCENARIO!B21*ABS(SCENARIO!I21-SCENARIO!K21)</x:f>
        <x:v>0.13043226529413068</x:v>
      </x:c>
      <x:c r="F21" t="n">
        <x:f>IF(SENSIBILITA!J21/PARAMETRI!$B$4*SCENARIO!B21&gt;0,-(SENSIBILITA!J21/PARAMETRI!$B$4*SCENARIO!B21)*LN(SENSIBILITA!J21/PARAMETRI!$B$4*SCENARIO!B21),0)</x:f>
        <x:v>0.14122949400111856</x:v>
      </x:c>
      <x:c r="G21" t="n">
        <x:f>IF(SENSIBILITA!K21/PARAMETRI!$B$4*SCENARIO!B21&gt;0,-(SENSIBILITA!K21/PARAMETRI!$B$4*SCENARIO!B21)*LN(SENSIBILITA!K21/PARAMETRI!$B$4*SCENARIO!B21),0)</x:f>
        <x:v>0.1079601171330622</x:v>
      </x:c>
      <x:c r="H21" t="n">
        <x:f>IF(SENSIBILITA!L21/PARAMETRI!$B$4*SCENARIO!B21&gt;0,-(SENSIBILITA!L21/PARAMETRI!$B$4*SCENARIO!B21)*LN(SENSIBILITA!L21/PARAMETRI!$B$4*SCENARIO!B21),0)</x:f>
        <x:v>0.10507924198499549</x:v>
      </x:c>
      <x:c r="I21" t="n">
        <x:f>IF(SENSIBILITA!M21/PARAMETRI!$B$4*SCENARIO!B21&gt;0,-(SENSIBILITA!M21/PARAMETRI!$B$4*SCENARIO!B21)*LN(SENSIBILITA!M21/PARAMETRI!$B$4*SCENARIO!B21),0)</x:f>
        <x:v>0.09789736864352708</x:v>
      </x:c>
      <x:c r="J21" t="n">
        <x:f>IF(SENSIBILITA!N21/PARAMETRI!$B$4*SCENARIO!B21&gt;0,-(SENSIBILITA!N21/PARAMETRI!$B$4*SCENARIO!B21)*LN(SENSIBILITA!N21/PARAMETRI!$B$4*SCENARIO!B21),0)</x:f>
        <x:v>0.13992340793065827</x:v>
      </x:c>
    </x:row>
    <x:row r="22">
      <x:c r="A22" t="str">
        <x:v>Sicilia</x:v>
      </x:c>
      <x:c r="B22" t="n">
        <x:f>-SCENARIO!B22*LN(SCENARIO!B22)</x:f>
        <x:v>0.17672269788438957</x:v>
      </x:c>
      <x:c r="C22" t="n">
        <x:f>-SCENARIO!E22*LN(SCENARIO!E22)</x:f>
        <x:v>0.18647753315288834</x:v>
      </x:c>
      <x:c r="D22" t="n">
        <x:f>-SCENARIO!J22*LN(SCENARIO!J22)</x:f>
        <x:v>0.14395829349321476</x:v>
      </x:c>
      <x:c r="E22" t="n">
        <x:f>100*SCENARIO!B22*ABS(SCENARIO!I22-SCENARIO!K22)</x:f>
        <x:v>0.09323033812413417</x:v>
      </x:c>
      <x:c r="F22" t="n">
        <x:f>IF(SENSIBILITA!J22/PARAMETRI!$B$4*SCENARIO!B22&gt;0,-(SENSIBILITA!J22/PARAMETRI!$B$4*SCENARIO!B22)*LN(SENSIBILITA!J22/PARAMETRI!$B$4*SCENARIO!B22),0)</x:f>
        <x:v>0.16662417832400706</x:v>
      </x:c>
      <x:c r="G22" t="n">
        <x:f>IF(SENSIBILITA!K22/PARAMETRI!$B$4*SCENARIO!B22&gt;0,-(SENSIBILITA!K22/PARAMETRI!$B$4*SCENARIO!B22)*LN(SENSIBILITA!K22/PARAMETRI!$B$4*SCENARIO!B22),0)</x:f>
        <x:v>0.16947597040645437</x:v>
      </x:c>
      <x:c r="H22" t="n">
        <x:f>IF(SENSIBILITA!L22/PARAMETRI!$B$4*SCENARIO!B22&gt;0,-(SENSIBILITA!L22/PARAMETRI!$B$4*SCENARIO!B22)*LN(SENSIBILITA!L22/PARAMETRI!$B$4*SCENARIO!B22),0)</x:f>
        <x:v>0.18609322216880955</x:v>
      </x:c>
      <x:c r="I22" t="n">
        <x:f>IF(SENSIBILITA!M22/PARAMETRI!$B$4*SCENARIO!B22&gt;0,-(SENSIBILITA!M22/PARAMETRI!$B$4*SCENARIO!B22)*LN(SENSIBILITA!M22/PARAMETRI!$B$4*SCENARIO!B22),0)</x:f>
        <x:v>0.15734019425547327</x:v>
      </x:c>
      <x:c r="J22" t="n">
        <x:f>IF(SENSIBILITA!N22/PARAMETRI!$B$4*SCENARIO!B22&gt;0,-(SENSIBILITA!N22/PARAMETRI!$B$4*SCENARIO!B22)*LN(SENSIBILITA!N22/PARAMETRI!$B$4*SCENARIO!B22),0)</x:f>
        <x:v>0.18198067194918333</x:v>
      </x:c>
    </x:row>
    <x:row r="23">
      <x:c r="A23" t="str">
        <x:v>Sardegna</x:v>
      </x:c>
      <x:c r="B23" t="n">
        <x:f>-SCENARIO!B23*LN(SCENARIO!B23)</x:f>
        <x:v>0.07957343776737873</x:v>
      </x:c>
      <x:c r="C23" t="n">
        <x:f>-SCENARIO!E23*LN(SCENARIO!E23)</x:f>
        <x:v>0.11153505857682924</x:v>
      </x:c>
      <x:c r="D23" t="n">
        <x:f>-SCENARIO!J23*LN(SCENARIO!J23)</x:f>
        <x:v>0.0674052149725648</x:v>
      </x:c>
      <x:c r="E23" t="n">
        <x:f>100*SCENARIO!B23*ABS(SCENARIO!I23-SCENARIO!K23)</x:f>
        <x:v>0.054524983478484314</x:v>
      </x:c>
      <x:c r="F23" t="n">
        <x:f>IF(SENSIBILITA!J23/PARAMETRI!$B$4*SCENARIO!B23&gt;0,-(SENSIBILITA!J23/PARAMETRI!$B$4*SCENARIO!B23)*LN(SENSIBILITA!J23/PARAMETRI!$B$4*SCENARIO!B23),0)</x:f>
        <x:v>0.08455118451775535</x:v>
      </x:c>
      <x:c r="G23" t="n">
        <x:f>IF(SENSIBILITA!K23/PARAMETRI!$B$4*SCENARIO!B23&gt;0,-(SENSIBILITA!K23/PARAMETRI!$B$4*SCENARIO!B23)*LN(SENSIBILITA!K23/PARAMETRI!$B$4*SCENARIO!B23),0)</x:f>
        <x:v>0.09855785995142294</x:v>
      </x:c>
      <x:c r="H23" t="n">
        <x:f>IF(SENSIBILITA!L23/PARAMETRI!$B$4*SCENARIO!B23&gt;0,-(SENSIBILITA!L23/PARAMETRI!$B$4*SCENARIO!B23)*LN(SENSIBILITA!L23/PARAMETRI!$B$4*SCENARIO!B23),0)</x:f>
        <x:v>0.08594407429396461</x:v>
      </x:c>
      <x:c r="I23" t="n">
        <x:f>IF(SENSIBILITA!M23/PARAMETRI!$B$4*SCENARIO!B23&gt;0,-(SENSIBILITA!M23/PARAMETRI!$B$4*SCENARIO!B23)*LN(SENSIBILITA!M23/PARAMETRI!$B$4*SCENARIO!B23),0)</x:f>
        <x:v>0.0938094350855796</x:v>
      </x:c>
      <x:c r="J23" t="n">
        <x:f>IF(SENSIBILITA!N23/PARAMETRI!$B$4*SCENARIO!B23&gt;0,-(SENSIBILITA!N23/PARAMETRI!$B$4*SCENARIO!B23)*LN(SENSIBILITA!N23/PARAMETRI!$B$4*SCENARIO!B23),0)</x:f>
        <x:v>0.08573905337198377</x:v>
      </x:c>
    </x:row>
  </x:sheetData>
  <x:pageMargins left="0.7" right="0.7" top="0.75" bottom="0.75" header="0.3" footer="0.3"/>
</x:worksheet>
</file>