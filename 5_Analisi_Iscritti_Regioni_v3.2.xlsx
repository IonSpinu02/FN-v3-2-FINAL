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4f55d60bc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ri" sheetId="1" r:id="R7dbfc16184d347dc"/>
    <x:sheet xmlns:r="http://schemas.openxmlformats.org/officeDocument/2006/relationships" name="Iscritti" sheetId="2" r:id="R60cf1442a3254001"/>
    <x:sheet xmlns:r="http://schemas.openxmlformats.org/officeDocument/2006/relationships" name="Indicatori" sheetId="3" r:id="R7dffb65eceaf46b3"/>
    <x:sheet xmlns:r="http://schemas.openxmlformats.org/officeDocument/2006/relationships" name="Macroaree" sheetId="4" r:id="Rb79a6ac1e9854b21"/>
    <x:sheet xmlns:r="http://schemas.openxmlformats.org/officeDocument/2006/relationships" name="Serie mensile" sheetId="5" r:id="R3d24886e926347f5"/>
    <x:sheet xmlns:r="http://schemas.openxmlformats.org/officeDocument/2006/relationships" name="Istruzioni" sheetId="6" r:id="R0cc729c4730c460c"/>
    <x:sheet xmlns:r="http://schemas.openxmlformats.org/officeDocument/2006/relationships" name="H_CALCOLO_MENSILE" sheetId="7" r:id="R7f955fcb5d78442f"/>
  </x:sheets>
</x:workbook>
</file>

<file path=xl/sharedStrings.xml><?xml version="1.0" encoding="utf-8"?>
<x:sst xmlns:x="http://schemas.openxmlformats.org/spreadsheetml/2006/main">
  <x:si>
    <x:t xml:space="preserve">Futuro Nazionale - Iscritti per regione (dati al 16/10/2026) - versione 3.1 definitiva del 18/10/2026</x:t>
  </x:si>
  <x:si>
    <x:t xml:space="preserve">Voce</x:t>
  </x:si>
  <x:si>
    <x:t xml:space="preserve">Valore</x:t>
  </x:si>
  <x:si>
    <x:t xml:space="preserve">Note / fonte</x:t>
  </x:si>
  <x:si>
    <x:t xml:space="preserve">Iscritti Italia (totale dichiarato)</x:t>
  </x:si>
  <x:si>
    <x:t xml:space="preserve">Dato fornito dall'utente, 16/10/2026</x:t>
  </x:si>
  <x:si>
    <x:t xml:space="preserve">Comitati ratificati</x:t>
  </x:si>
  <x:si>
    <x:t xml:space="preserve">Dato fornito dall'utente, 16/10/2026; ripartizione regionale non disponibile</x:t>
  </x:si>
  <x:si>
    <x:t xml:space="preserve">Somma iscritti regionali</x:t>
  </x:si>
  <x:si>
    <x:t xml:space="preserve">Calcolata dalla scheda Iscritti</x:t>
  </x:si>
  <x:si>
    <x:t xml:space="preserve">Iscritti non attribuiti a regione</x:t>
  </x:si>
  <x:si>
    <x:t xml:space="preserve">Differenza tra totale dichiarato e somma regionale</x:t>
  </x:si>
  <x:si>
    <x:t xml:space="preserve">Quota non attribuita</x:t>
  </x:si>
  <x:si>
    <x:t xml:space="preserve">Iscritti per comitato (media nazionale)</x:t>
  </x:si>
  <x:si>
    <x:t xml:space="preserve">Comitati per 100.000 abitanti</x:t>
  </x:si>
  <x:si>
    <x:t xml:space="preserve">Iscritti per 100.000 abitanti (somma regionale)</x:t>
  </x:si>
  <x:si>
    <x:t xml:space="preserve">Legenda: testo blu = dato inserito (modificabile); nero = formula.</x:t>
  </x:si>
  <x:si>
    <x:t xml:space="preserve">Popolazione: ISTAT, residenti al 1/1/2025 (tabella riportata su it.wikipedia.org/wiki/Regioni_d%27Italia).</x:t>
  </x:si>
  <x:si>
    <x:t xml:space="preserve">Cariche: censimento di 38 presenze istituzionali (9 deputati, 7 consiglieri regionali, 3 sindaci, 19 consiglieri comunali), allineato al modello v3.1 del 18/10/2026.</x:t>
  </x:si>
  <x:si>
    <x:t xml:space="preserve">Iscritti: dato ufficiale del partito comunicato dal committente (non certificato da terzi). Definizione di iscritto e data di estrazione da documentare.</x:t>
  </x:si>
  <x:si>
    <x:t xml:space="preserve">Regione</x:t>
  </x:si>
  <x:si>
    <x:t xml:space="preserve">Iscritti</x:t>
  </x:si>
  <x:si>
    <x:t xml:space="preserve">Quota iscritti</x:t>
  </x:si>
  <x:si>
    <x:t xml:space="preserve">Popolazione ISTAT 1/1/2025</x:t>
  </x:si>
  <x:si>
    <x:t xml:space="preserve">Quota popolazione</x:t>
  </x:si>
  <x:si>
    <x:t xml:space="preserve">Iscritti per 100.000 ab.</x:t>
  </x:si>
  <x:si>
    <x:t xml:space="preserve">Indice densità (Q.iscr/Q.pop)</x:t>
  </x:si>
  <x:si>
    <x:t xml:space="preserve">Contributo Shannon iscritti</x:t>
  </x:si>
  <x:si>
    <x:t xml:space="preserve">Contributo KL iscritti vs pop.</x:t>
  </x:si>
  <x:si>
    <x:t xml:space="preserve">Cariche censite (38)</x:t>
  </x:si>
  <x:si>
    <x:t xml:space="preserve">Quota cariche</x:t>
  </x:si>
  <x:si>
    <x:t xml:space="preserve">Contributo Shannon cariche</x:t>
  </x:si>
  <x:si>
    <x:t xml:space="preserve">Contributo KL cariche vs iscritti</x:t>
  </x:si>
  <x:si>
    <x:t xml:space="preserve">Scarto cariche - iscritti (p.p.)</x:t>
  </x:si>
  <x:si>
    <x:t xml:space="preserve">Abruzzo</x:t>
  </x:si>
  <x:si>
    <x:t xml:space="preserve">Basilicata</x:t>
  </x:si>
  <x:si>
    <x:t xml:space="preserve">Calabria</x:t>
  </x:si>
  <x:si>
    <x:t xml:space="preserve">Campania</x:t>
  </x:si>
  <x:si>
    <x:t xml:space="preserve">Emilia-Romagna</x:t>
  </x:si>
  <x:si>
    <x:t xml:space="preserve">Friuli-Venezia Giulia</x:t>
  </x:si>
  <x:si>
    <x:t xml:space="preserve">Lazio</x:t>
  </x:si>
  <x:si>
    <x:t xml:space="preserve">Liguria</x:t>
  </x:si>
  <x:si>
    <x:t xml:space="preserve">Lombardia</x:t>
  </x:si>
  <x:si>
    <x:t xml:space="preserve">Marche</x:t>
  </x:si>
  <x:si>
    <x:t xml:space="preserve">Molise</x:t>
  </x:si>
  <x:si>
    <x:t xml:space="preserve">Piemonte</x:t>
  </x:si>
  <x:si>
    <x:t xml:space="preserve">Puglia</x:t>
  </x:si>
  <x:si>
    <x:t xml:space="preserve">Sardegna</x:t>
  </x:si>
  <x:si>
    <x:t xml:space="preserve">Sicilia</x:t>
  </x:si>
  <x:si>
    <x:t xml:space="preserve">Toscana</x:t>
  </x:si>
  <x:si>
    <x:t xml:space="preserve">Trentino-Alto Adige</x:t>
  </x:si>
  <x:si>
    <x:t xml:space="preserve">Umbria</x:t>
  </x:si>
  <x:si>
    <x:t xml:space="preserve">Valle d'Aosta</x:t>
  </x:si>
  <x:si>
    <x:t xml:space="preserve">Veneto</x:t>
  </x:si>
  <x:si>
    <x:t xml:space="preserve">Non attribuiti a regione</x:t>
  </x:si>
  <x:si>
    <x:t xml:space="preserve">Totale dichiarato</x:t>
  </x:si>
  <x:si>
    <x:t xml:space="preserve">Totale 20 regioni</x:t>
  </x:si>
  <x:si>
    <x:t xml:space="preserve">Indicatore</x:t>
  </x:si>
  <x:si>
    <x:t xml:space="preserve">Interpretazione</x:t>
  </x:si>
  <x:si>
    <x:t xml:space="preserve">Entropia normalizzata H (0-1)</x:t>
  </x:si>
  <x:si>
    <x:t xml:space="preserve">1 = distribuzione uniforme tra le 20 regioni</x:t>
  </x:si>
  <x:si>
    <x:t xml:space="preserve">Indice HHI (concentrazione)</x:t>
  </x:si>
  <x:si>
    <x:t xml:space="preserve">Più alto = più concentrato</x:t>
  </x:si>
  <x:si>
    <x:t xml:space="preserve">Numero effettivo di regioni (1/HHI)</x:t>
  </x:si>
  <x:si>
    <x:t xml:space="preserve">Quante regioni "equivalenti" pesano</x:t>
  </x:si>
  <x:si>
    <x:t xml:space="preserve">Regioni con almeno 1 unità</x:t>
  </x:si>
  <x:si>
    <x:t xml:space="preserve">Divergenza KL iscritti vs popolazione</x:t>
  </x:si>
  <x:si>
    <x:t xml:space="preserve">0 = iscritti distribuiti come gli abitanti</x:t>
  </x:si>
  <x:si>
    <x:t xml:space="preserve">Divergenza KL cariche vs iscritti</x:t>
  </x:si>
  <x:si>
    <x:t xml:space="preserve">0 = cariche distribuite come gli iscritti</x:t>
  </x:si>
  <x:si>
    <x:t xml:space="preserve">Prima regione per quota</x:t>
  </x:si>
  <x:si>
    <x:t xml:space="preserve">Regione a densità massima</x:t>
  </x:si>
  <x:si>
    <x:t xml:space="preserve">Regione a densità minima</x:t>
  </x:si>
  <x:si>
    <x:t xml:space="preserve">Macroarea</x:t>
  </x:si>
  <x:si>
    <x:t xml:space="preserve">Popolazione</x:t>
  </x:si>
  <x:si>
    <x:t xml:space="preserve">Indice densità</x:t>
  </x:si>
  <x:si>
    <x:t xml:space="preserve">Nord-Ovest</x:t>
  </x:si>
  <x:si>
    <x:t xml:space="preserve">Nord-Est</x:t>
  </x:si>
  <x:si>
    <x:t xml:space="preserve">Centro</x:t>
  </x:si>
  <x:si>
    <x:t xml:space="preserve">Sud</x:t>
  </x:si>
  <x:si>
    <x:t xml:space="preserve">Isole</x:t>
  </x:si>
  <x:si>
    <x:t xml:space="preserve">Totale</x:t>
  </x:si>
  <x:si>
    <x:t xml:space="preserve">10/2026</x:t>
  </x:si>
  <x:si>
    <x:t xml:space="preserve">11/2026</x:t>
  </x:si>
  <x:si>
    <x:t xml:space="preserve">12/2026</x:t>
  </x:si>
  <x:si>
    <x:t xml:space="preserve">01/2027</x:t>
  </x:si>
  <x:si>
    <x:t xml:space="preserve">02/2027</x:t>
  </x:si>
  <x:si>
    <x:t xml:space="preserve">03/2027</x:t>
  </x:si>
  <x:si>
    <x:t xml:space="preserve">04/2027</x:t>
  </x:si>
  <x:si>
    <x:t xml:space="preserve">05/2027</x:t>
  </x:si>
  <x:si>
    <x:t xml:space="preserve">06/2027</x:t>
  </x:si>
  <x:si>
    <x:t xml:space="preserve">07/2027</x:t>
  </x:si>
  <x:si>
    <x:t xml:space="preserve">08/2027</x:t>
  </x:si>
  <x:si>
    <x:t xml:space="preserve">09/2027</x:t>
  </x:si>
  <x:si>
    <x:t xml:space="preserve">10/2027</x:t>
  </x:si>
  <x:si>
    <x:t xml:space="preserve">H iscritti(t)</x:t>
  </x:si>
  <x:si>
    <x:t xml:space="preserve">ΔH</x:t>
  </x:si>
  <x:si>
    <x:t xml:space="preserve">Stato</x:t>
  </x:si>
  <x:si>
    <x:t xml:space="preserve">Un mese viene calcolato solo se tutte le 20 regioni sono compilate. Iscrizione non equivale a voto. Per la divergenza Jensen–Shannon mensile usare lo script con storico_iscritti_TEMPLATE.csv.</x:t>
  </x:si>
  <x:si>
    <x:t xml:space="preserve">Criterio</x:t>
  </x:si>
  <x:si>
    <x:t xml:space="preserve">Data</x:t>
  </x:si>
  <x:si>
    <x:t xml:space="preserve">Base: 16 ottobre 2026; usare data mensile fissa</x:t>
  </x:si>
  <x:si>
    <x:t xml:space="preserve">Somma</x:t>
  </x:si>
  <x:si>
    <x:t xml:space="preserve">158.320 dichiarati; 156.456 alle regioni; differenza 1.864</x:t>
  </x:si>
  <x:si>
    <x:t xml:space="preserve">Comitati</x:t>
  </x:si>
  <x:si>
    <x:t xml:space="preserve">2.331 dichiarati; manca dettaglio regionale</x:t>
  </x:si>
  <x:si>
    <x:t xml:space="preserve">Definizione</x:t>
  </x:si>
  <x:si>
    <x:t xml:space="preserve">Conservare regole per iscritti attivi e quote pagate</x:t>
  </x:si>
  <x:si>
    <x:t xml:space="preserve">Dati mancanti</x:t>
  </x:si>
  <x:si>
    <x:t xml:space="preserve">Non inserire 0 se la regione non ha comunicato</x:t>
  </x:si>
  <x:si>
    <x:t xml:space="preserve">Storico</x:t>
  </x:si>
  <x:si>
    <x:t xml:space="preserve">Non sovrascrivere i mesi precedenti</x:t>
  </x:si>
  <x:si>
    <x:t xml:space="preserve">Entropia</x:t>
  </x:si>
  <x:si>
    <x:t xml:space="preserve">Descrive distribuzione organizzativa, non voto elettorale</x:t>
  </x:si>
  <x:si>
    <x:t xml:space="preserve">Iscrizione al partito NON equivale a voto e non prova causalità.</x:t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</x:si>
</x:sst>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#,##0"/>
    <x:numFmt numFmtId="166" formatCode="0.0%"/>
    <x:numFmt numFmtId="167" formatCode="#,##0.0"/>
    <x:numFmt numFmtId="168" formatCode="0.00%"/>
    <x:numFmt numFmtId="169" formatCode="0.00"/>
    <x:numFmt numFmtId="170" formatCode="0.0000"/>
    <x:numFmt numFmtId="171" formatCode="0"/>
    <x:numFmt numFmtId="172" formatCode="\+0.0;\-0.0;0.0"/>
    <x:numFmt numFmtId="173" formatCode="0.000"/>
    <x:numFmt numFmtId="174" formatCode="\+0.0000;\-0.0000;0.0000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b/>
      <x:sz val="11"/>
      <x:color rgb="FFFFFFFF"/>
      <x:name val="Arial"/>
    </x:font>
    <x:font>
      <x:sz val="11"/>
      <x:name val="Arial"/>
    </x:font>
    <x:font>
      <x:sz val="11"/>
      <x:color rgb="FF0000FF"/>
      <x:name val="Arial"/>
    </x:font>
    <x:font>
      <x:i/>
      <x:sz val="11"/>
      <x:color rgb="FF595959"/>
      <x:name val="Arial"/>
    </x:font>
    <x:font>
      <x:i/>
      <x:sz val="11"/>
      <x:name val="Arial"/>
    </x:font>
    <x:font>
      <x:b/>
      <x:sz val="11"/>
      <x:name val="Arial"/>
    </x:font>
    <x:font>
      <x:b/>
      <x:sz val="12"/>
      <x:name val="Arial"/>
    </x:font>
    <x:font>
      <x:i/>
      <x:sz val="11"/>
      <x:color rgb="FF6B7280"/>
      <x:name val="Arial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FFF2CC"/>
      </x:patternFill>
    </x:fill>
    <x:fill>
      <x:patternFill patternType="solid">
        <x:fgColor rgb="FF152942"/>
      </x:patternFill>
    </x:fill>
    <x:fill>
      <x:patternFill patternType="solid">
        <x:fgColor rgb="FF25717A"/>
      </x:patternFill>
    </x:fill>
  </x:fills>
  <x:borders count="2">
    <x:border diagonalUp="0" diagonalDown="0"/>
    <x:border diagonalUp="0" diagonalDown="0"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0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5" fillId="2" borderId="0" xfId="0" applyFont="1" applyBorder="0" applyAlignment="1">
      <x:alignment horizontal="general" vertical="bottom" wrapText="0"/>
    </x:xf>
    <x:xf numFmtId="164" fontId="6" fillId="0" borderId="0" xfId="0" applyFont="1" applyBorder="0" applyAlignment="1">
      <x:alignment horizontal="general" vertical="bottom" wrapText="0"/>
    </x:xf>
    <x:xf numFmtId="165" fontId="7" fillId="0" borderId="0" xfId="0" applyFont="1" applyBorder="0" applyAlignment="1">
      <x:alignment horizontal="general" vertical="bottom" wrapText="0"/>
    </x:xf>
    <x:xf numFmtId="164" fontId="8" fillId="0" borderId="0" xfId="0" applyFont="1" applyBorder="0" applyAlignment="1">
      <x:alignment horizontal="general" vertical="bottom" wrapText="0"/>
    </x:xf>
    <x:xf numFmtId="165" fontId="6" fillId="0" borderId="0" xfId="0" applyFont="1" applyBorder="0" applyAlignment="1">
      <x:alignment horizontal="general" vertical="bottom" wrapText="0"/>
    </x:xf>
    <x:xf numFmtId="166" fontId="6" fillId="0" borderId="0" xfId="0" applyFont="1" applyBorder="0" applyAlignment="1">
      <x:alignment horizontal="general" vertical="bottom" wrapText="0"/>
    </x:xf>
    <x:xf numFmtId="167" fontId="6" fillId="0" borderId="0" xfId="0" applyFont="1" applyBorder="0" applyAlignment="1">
      <x:alignment horizontal="general" vertical="bottom" wrapText="0"/>
    </x:xf>
    <x:xf numFmtId="164" fontId="9" fillId="0" borderId="0" xfId="0" applyFont="1" applyBorder="0" applyAlignment="1">
      <x:alignment horizontal="general" vertical="bottom" wrapText="0"/>
    </x:xf>
    <x:xf numFmtId="164" fontId="5" fillId="2" borderId="0" xfId="0" applyFont="1" applyBorder="0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7" fillId="0" borderId="1" xfId="0" applyFont="1" applyBorder="1" applyAlignment="1">
      <x:alignment horizontal="general" vertical="bottom" wrapText="0"/>
    </x:xf>
    <x:xf numFmtId="168" fontId="6" fillId="0" borderId="1" xfId="0" applyFont="1" applyBorder="1" applyAlignment="1">
      <x:alignment horizontal="general" vertical="bottom" wrapText="0"/>
    </x:xf>
    <x:xf numFmtId="167" fontId="6" fillId="0" borderId="1" xfId="0" applyFont="1" applyBorder="1" applyAlignment="1">
      <x:alignment horizontal="general" vertical="bottom" wrapText="0"/>
    </x:xf>
    <x:xf numFmtId="169" fontId="6" fillId="0" borderId="1" xfId="0" applyFont="1" applyBorder="1" applyAlignment="1">
      <x:alignment horizontal="general" vertical="bottom" wrapText="0"/>
    </x:xf>
    <x:xf numFmtId="170" fontId="6" fillId="0" borderId="1" xfId="0" applyFont="1" applyBorder="1" applyAlignment="1">
      <x:alignment horizontal="general" vertical="bottom" wrapText="0"/>
    </x:xf>
    <x:xf numFmtId="171" fontId="7" fillId="0" borderId="1" xfId="0" applyFont="1" applyBorder="1" applyAlignment="1">
      <x:alignment horizontal="general" vertical="bottom" wrapText="0"/>
    </x:xf>
    <x:xf numFmtId="166" fontId="6" fillId="0" borderId="1" xfId="0" applyFont="1" applyBorder="1" applyAlignment="1">
      <x:alignment horizontal="general" vertical="bottom" wrapText="0"/>
    </x:xf>
    <x:xf numFmtId="172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71" fontId="6" fillId="0" borderId="1" xfId="0" applyFont="1" applyBorder="1" applyAlignment="1">
      <x:alignment horizontal="general" vertical="bottom" wrapText="0"/>
    </x:xf>
    <x:xf numFmtId="164" fontId="10" fillId="0" borderId="1" xfId="0" applyFont="1" applyBorder="1" applyAlignment="1">
      <x:alignment horizontal="general" vertical="bottom" wrapText="0"/>
    </x:xf>
    <x:xf numFmtId="165" fontId="10" fillId="0" borderId="1" xfId="0" applyFont="1" applyBorder="1" applyAlignment="1">
      <x:alignment horizontal="general" vertical="bottom" wrapText="0"/>
    </x:xf>
    <x:xf numFmtId="168" fontId="10" fillId="0" borderId="1" xfId="0" applyFont="1" applyBorder="1" applyAlignment="1">
      <x:alignment horizontal="general" vertical="bottom" wrapText="0"/>
    </x:xf>
    <x:xf numFmtId="167" fontId="10" fillId="0" borderId="1" xfId="0" applyFont="1" applyBorder="1" applyAlignment="1">
      <x:alignment horizontal="general" vertical="bottom" wrapText="0"/>
    </x:xf>
    <x:xf numFmtId="169" fontId="10" fillId="0" borderId="1" xfId="0" applyFont="1" applyBorder="1" applyAlignment="1">
      <x:alignment horizontal="general" vertical="bottom" wrapText="0"/>
    </x:xf>
    <x:xf numFmtId="170" fontId="10" fillId="0" borderId="1" xfId="0" applyFont="1" applyBorder="1" applyAlignment="1">
      <x:alignment horizontal="general" vertical="bottom" wrapText="0"/>
    </x:xf>
    <x:xf numFmtId="171" fontId="10" fillId="0" borderId="1" xfId="0" applyFont="1" applyBorder="1" applyAlignment="1">
      <x:alignment horizontal="general" vertical="bottom" wrapText="0"/>
    </x:xf>
    <x:xf numFmtId="166" fontId="10" fillId="0" borderId="1" xfId="0" applyFont="1" applyBorder="1" applyAlignment="1">
      <x:alignment horizontal="general" vertical="bottom" wrapText="0"/>
    </x:xf>
    <x:xf numFmtId="172" fontId="10" fillId="0" borderId="1" xfId="0" applyFont="1" applyBorder="1" applyAlignment="1">
      <x:alignment horizontal="general" vertical="bottom" wrapText="0"/>
    </x:xf>
    <x:xf numFmtId="173" fontId="6" fillId="0" borderId="1" xfId="0" applyFont="1" applyBorder="1" applyAlignment="1">
      <x:alignment horizontal="general" vertical="bottom" wrapText="0"/>
    </x:xf>
    <x:xf numFmtId="164" fontId="5" fillId="2" borderId="0" xfId="0" applyFont="1" applyBorder="0" applyAlignment="1">
      <x:alignment horizontal="general" vertical="bottom" wrapText="1"/>
    </x:xf>
    <x:xf numFmtId="164" fontId="11" fillId="0" borderId="0" xfId="0" applyFont="1" applyBorder="0" applyAlignment="0">
      <x:alignment horizontal="general" vertical="bottom" wrapText="0"/>
    </x:xf>
    <x:xf numFmtId="164" fontId="5" fillId="2" borderId="0" xfId="0" applyFont="1" applyBorder="0" applyAlignment="1">
      <x:alignment horizontal="center" vertical="bottom" wrapText="0"/>
    </x:xf>
    <x:xf numFmtId="164" fontId="6" fillId="0" borderId="0" xfId="0" applyFont="1" applyBorder="0" applyAlignment="0">
      <x:alignment horizontal="general" vertical="bottom" wrapText="0"/>
    </x:xf>
    <x:xf numFmtId="165" fontId="7" fillId="0" borderId="0" xfId="0" applyFont="1" applyBorder="0" applyAlignment="0">
      <x:alignment horizontal="general" vertical="bottom" wrapText="0"/>
    </x:xf>
    <x:xf numFmtId="165" fontId="7" fillId="3" borderId="0" xfId="0" applyFont="1" applyBorder="0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70" fontId="0" fillId="0" borderId="0" xfId="0" applyFont="0" applyBorder="0" applyAlignment="0">
      <x:alignment horizontal="general" vertical="bottom" wrapText="0"/>
    </x:xf>
    <x:xf numFmtId="174" fontId="0" fillId="0" borderId="0" xfId="0" applyFont="0" applyBorder="0" applyAlignment="0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4" fontId="9" fillId="0" borderId="0" xfId="0" applyFont="1" applyBorder="0" applyAlignment="0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0"/>
    </x:xf>
    <x:xf numFmtId="164" fontId="5" fillId="2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5" fontId="7" fillId="0" borderId="0" xfId="0" applyNumberFormat="1" applyFont="1" applyFill="1" applyBorder="1" applyAlignment="1">
      <x:alignment horizontal="general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5" fontId="6" fillId="0" borderId="0" xfId="0" applyNumberFormat="1" applyFont="1" applyFill="1" applyBorder="1" applyAlignment="1">
      <x:alignment horizontal="general" vertical="bottom" wrapText="0"/>
    </x:xf>
    <x:xf numFmtId="166" fontId="6" fillId="0" borderId="0" xfId="0" applyNumberFormat="1" applyFont="1" applyFill="1" applyBorder="1" applyAlignment="1">
      <x:alignment horizontal="general" vertical="bottom" wrapText="0"/>
    </x:xf>
    <x:xf numFmtId="167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5" fillId="2" borderId="0" xfId="0" applyNumberFormat="1" applyFont="1" applyFill="1" applyBorder="1" applyAlignment="1">
      <x:alignment horizontal="center" vertical="center" wrapText="1"/>
    </x:xf>
    <x:xf numFmtId="164" fontId="6" fillId="0" borderId="1" xfId="0" applyNumberFormat="1" applyFont="1" applyFill="1" applyBorder="1" applyAlignment="1">
      <x:alignment horizontal="general" vertical="bottom" wrapText="0"/>
    </x:xf>
    <x:xf numFmtId="165" fontId="7" fillId="0" borderId="1" xfId="0" applyNumberFormat="1" applyFont="1" applyFill="1" applyBorder="1" applyAlignment="1">
      <x:alignment horizontal="general" vertical="bottom" wrapText="0"/>
    </x:xf>
    <x:xf numFmtId="168" fontId="6" fillId="0" borderId="1" xfId="0" applyNumberFormat="1" applyFont="1" applyFill="1" applyBorder="1" applyAlignment="1">
      <x:alignment horizontal="general" vertical="bottom" wrapText="0"/>
    </x:xf>
    <x:xf numFmtId="167" fontId="6" fillId="0" borderId="1" xfId="0" applyNumberFormat="1" applyFont="1" applyFill="1" applyBorder="1" applyAlignment="1">
      <x:alignment horizontal="general" vertical="bottom" wrapText="0"/>
    </x:xf>
    <x:xf numFmtId="169" fontId="6" fillId="0" borderId="1" xfId="0" applyNumberFormat="1" applyFont="1" applyFill="1" applyBorder="1" applyAlignment="1">
      <x:alignment horizontal="general" vertical="bottom" wrapText="0"/>
    </x:xf>
    <x:xf numFmtId="170" fontId="6" fillId="0" borderId="1" xfId="0" applyNumberFormat="1" applyFont="1" applyFill="1" applyBorder="1" applyAlignment="1">
      <x:alignment horizontal="general" vertical="bottom" wrapText="0"/>
    </x:xf>
    <x:xf numFmtId="171" fontId="7" fillId="0" borderId="1" xfId="0" applyNumberFormat="1" applyFont="1" applyFill="1" applyBorder="1" applyAlignment="1">
      <x:alignment horizontal="general" vertical="bottom" wrapText="0"/>
    </x:xf>
    <x:xf numFmtId="166" fontId="6" fillId="0" borderId="1" xfId="0" applyNumberFormat="1" applyFont="1" applyFill="1" applyBorder="1" applyAlignment="1">
      <x:alignment horizontal="general" vertical="bottom" wrapText="0"/>
    </x:xf>
    <x:xf numFmtId="172" fontId="6" fillId="0" borderId="1" xfId="0" applyNumberFormat="1" applyFont="1" applyFill="1" applyBorder="1" applyAlignment="1">
      <x:alignment horizontal="general" vertical="bottom" wrapText="0"/>
    </x:xf>
    <x:xf numFmtId="165" fontId="6" fillId="0" borderId="1" xfId="0" applyNumberFormat="1" applyFont="1" applyFill="1" applyBorder="1" applyAlignment="1">
      <x:alignment horizontal="general" vertical="bottom" wrapText="0"/>
    </x:xf>
    <x:xf numFmtId="171" fontId="6" fillId="0" borderId="1" xfId="0" applyNumberFormat="1" applyFont="1" applyFill="1" applyBorder="1" applyAlignment="1">
      <x:alignment horizontal="general" vertical="bottom" wrapText="0"/>
    </x:xf>
    <x:xf numFmtId="164" fontId="10" fillId="0" borderId="1" xfId="0" applyNumberFormat="1" applyFont="1" applyFill="1" applyBorder="1" applyAlignment="1">
      <x:alignment horizontal="general" vertical="bottom" wrapText="0"/>
    </x:xf>
    <x:xf numFmtId="165" fontId="10" fillId="0" borderId="1" xfId="0" applyNumberFormat="1" applyFont="1" applyFill="1" applyBorder="1" applyAlignment="1">
      <x:alignment horizontal="general" vertical="bottom" wrapText="0"/>
    </x:xf>
    <x:xf numFmtId="168" fontId="10" fillId="0" borderId="1" xfId="0" applyNumberFormat="1" applyFont="1" applyFill="1" applyBorder="1" applyAlignment="1">
      <x:alignment horizontal="general" vertical="bottom" wrapText="0"/>
    </x:xf>
    <x:xf numFmtId="167" fontId="10" fillId="0" borderId="1" xfId="0" applyNumberFormat="1" applyFont="1" applyFill="1" applyBorder="1" applyAlignment="1">
      <x:alignment horizontal="general" vertical="bottom" wrapText="0"/>
    </x:xf>
    <x:xf numFmtId="169" fontId="10" fillId="0" borderId="1" xfId="0" applyNumberFormat="1" applyFont="1" applyFill="1" applyBorder="1" applyAlignment="1">
      <x:alignment horizontal="general" vertical="bottom" wrapText="0"/>
    </x:xf>
    <x:xf numFmtId="170" fontId="10" fillId="0" borderId="1" xfId="0" applyNumberFormat="1" applyFont="1" applyFill="1" applyBorder="1" applyAlignment="1">
      <x:alignment horizontal="general" vertical="bottom" wrapText="0"/>
    </x:xf>
    <x:xf numFmtId="171" fontId="10" fillId="0" borderId="1" xfId="0" applyNumberFormat="1" applyFont="1" applyFill="1" applyBorder="1" applyAlignment="1">
      <x:alignment horizontal="general" vertical="bottom" wrapText="0"/>
    </x:xf>
    <x:xf numFmtId="166" fontId="10" fillId="0" borderId="1" xfId="0" applyNumberFormat="1" applyFont="1" applyFill="1" applyBorder="1" applyAlignment="1">
      <x:alignment horizontal="general" vertical="bottom" wrapText="0"/>
    </x:xf>
    <x:xf numFmtId="172" fontId="10" fillId="0" borderId="1" xfId="0" applyNumberFormat="1" applyFont="1" applyFill="1" applyBorder="1" applyAlignment="1">
      <x:alignment horizontal="general" vertical="bottom" wrapText="0"/>
    </x:xf>
    <x:xf numFmtId="173" fontId="6" fillId="0" borderId="1" xfId="0" applyNumberFormat="1" applyFont="1" applyFill="1" applyBorder="1" applyAlignment="1">
      <x:alignment horizontal="general" vertical="bottom" wrapText="0"/>
    </x:xf>
    <x:xf numFmtId="164" fontId="5" fillId="2" borderId="0" xfId="0" applyNumberFormat="1" applyFont="1" applyFill="1" applyBorder="1" applyAlignment="1">
      <x:alignment horizontal="general" vertical="bottom" wrapText="1"/>
    </x:xf>
    <x:xf numFmtId="164" fontId="11" fillId="0" borderId="0" xfId="0" applyNumberFormat="1" applyFont="1" applyFill="1" applyBorder="1" applyAlignment="1">
      <x:alignment horizontal="general" vertical="bottom" wrapText="0"/>
    </x:xf>
    <x:xf numFmtId="164" fontId="5" fillId="2" borderId="0" xfId="0" applyNumberFormat="1" applyFont="1" applyFill="1" applyBorder="1" applyAlignment="1">
      <x:alignment horizontal="center" vertical="bottom" wrapText="0"/>
    </x:xf>
    <x:xf numFmtId="165" fontId="7" fillId="3" borderId="0" xfId="0" applyNumberFormat="1" applyFont="1" applyFill="1" applyBorder="1" applyAlignment="1">
      <x:alignment horizontal="general" vertical="bottom" wrapText="0"/>
    </x:xf>
    <x:xf numFmtId="164" fontId="10" fillId="0" borderId="0" xfId="0" applyNumberFormat="1" applyFont="1" applyFill="1" applyBorder="1" applyAlignment="1">
      <x:alignment horizontal="general" vertical="bottom" wrapText="0"/>
    </x:xf>
    <x:xf numFmtId="165" fontId="0" fillId="0" borderId="0" xfId="0" applyNumberFormat="1" applyFont="1" applyFill="1" applyBorder="1" applyAlignment="1">
      <x:alignment horizontal="general" vertical="bottom" wrapText="0"/>
    </x:xf>
    <x:xf numFmtId="170" fontId="0" fillId="0" borderId="0" xfId="0" applyNumberFormat="1" applyFont="1" applyFill="1" applyBorder="1" applyAlignment="1">
      <x:alignment horizontal="general" vertical="bottom" wrapText="0"/>
    </x:xf>
    <x:xf numFmtId="174" fontId="0" fillId="0" borderId="0" xfId="0" applyNumberFormat="1" applyFont="1" applyFill="1" applyBorder="1" applyAlignment="1">
      <x:alignment horizontal="general" vertical="bottom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13" fillId="4" borderId="0" xfId="0" applyNumberFormat="1" applyFont="1" applyFill="1" applyBorder="1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3" fillId="5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B7280"/>
      <x:rgbColor rgb="FF969696"/>
      <x:rgbColor rgb="FF1F3A5F"/>
      <x:rgbColor rgb="FF339966"/>
      <x:rgbColor rgb="FF003300"/>
      <x:rgbColor rgb="FF333300"/>
      <x:rgbColor rgb="FF993300"/>
      <x:rgbColor rgb="FF993366"/>
      <x:rgbColor rgb="FF333399"/>
      <x:rgbColor rgb="FF595959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972e47e2b4782" /><Relationship Type="http://schemas.openxmlformats.org/officeDocument/2006/relationships/theme" Target="/xl/theme/theme1.xml" Id="Rfc31455deee74149" /><Relationship Type="http://schemas.openxmlformats.org/officeDocument/2006/relationships/sharedStrings" Target="/xl/sharedStrings.xml" Id="R3d329c4909e54cb7" /><Relationship Type="http://schemas.openxmlformats.org/officeDocument/2006/relationships/worksheet" Target="/xl/worksheets/sheet1.xml" Id="R7dbfc16184d347dc" /><Relationship Type="http://schemas.openxmlformats.org/officeDocument/2006/relationships/worksheet" Target="/xl/worksheets/sheet2.xml" Id="R60cf1442a3254001" /><Relationship Type="http://schemas.openxmlformats.org/officeDocument/2006/relationships/worksheet" Target="/xl/worksheets/sheet3.xml" Id="R7dffb65eceaf46b3" /><Relationship Type="http://schemas.openxmlformats.org/officeDocument/2006/relationships/worksheet" Target="/xl/worksheets/sheet4.xml" Id="Rb79a6ac1e9854b21" /><Relationship Type="http://schemas.openxmlformats.org/officeDocument/2006/relationships/worksheet" Target="/xl/worksheets/sheet5.xml" Id="R3d24886e926347f5" /><Relationship Type="http://schemas.openxmlformats.org/officeDocument/2006/relationships/worksheet" Target="/xl/worksheets/sheet6.xml" Id="R0cc729c4730c460c" /><Relationship Type="http://schemas.openxmlformats.org/officeDocument/2006/relationships/worksheet" Target="/xl/worksheets/sheet7.xml" Id="R7f955fcb5d78442f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style="1" hidden="0" customWidth="1"/>
    <x:col min="2" max="2" width="14" style="1" hidden="0" customWidth="1"/>
    <x:col min="3" max="3" width="70" style="1" hidden="0" customWidth="1"/>
  </x:cols>
  <x:sheetData>
    <x:row r="1" ht="17.25" hidden="0" customHeight="1">
      <x:c r="A1" s="2" t="s">
        <x:v>0</x:v>
      </x:c>
    </x:row>
    <x:row r="2" ht="15" hidden="0" customHeight="1">
      <x:c r="A2" s="3" t="s">
        <x:v>1</x:v>
      </x:c>
      <x:c r="B2" s="3" t="s">
        <x:v>2</x:v>
      </x:c>
      <x:c r="C2" s="3" t="s">
        <x:v>3</x:v>
      </x:c>
    </x:row>
    <x:row r="3" ht="15" hidden="0" customHeight="1">
      <x:c r="A3" s="4" t="s">
        <x:v>4</x:v>
      </x:c>
      <x:c r="B3" s="5" t="n">
        <x:v>158320</x:v>
      </x:c>
      <x:c r="C3" s="6" t="s">
        <x:v>5</x:v>
      </x:c>
    </x:row>
    <x:row r="4" ht="15" hidden="0" customHeight="1">
      <x:c r="A4" s="4" t="s">
        <x:v>6</x:v>
      </x:c>
      <x:c r="B4" s="5" t="n">
        <x:v>2331</x:v>
      </x:c>
      <x:c r="C4" s="6" t="s">
        <x:v>7</x:v>
      </x:c>
    </x:row>
    <x:row r="5" ht="15" hidden="0" customHeight="1">
      <x:c r="A5" s="4" t="s">
        <x:v>8</x:v>
      </x:c>
      <x:c r="B5" s="7" t="n">
        <x:f aca="0">Iscritti!B24</x:f>
        <x:v>156456</x:v>
      </x:c>
      <x:c r="C5" s="6" t="s">
        <x:v>9</x:v>
      </x:c>
    </x:row>
    <x:row r="6" ht="15" hidden="0" customHeight="1">
      <x:c r="A6" s="4" t="s">
        <x:v>10</x:v>
      </x:c>
      <x:c r="B6" s="7" t="n">
        <x:f aca="0">B3-B5</x:f>
        <x:v>1864</x:v>
      </x:c>
      <x:c r="C6" s="6" t="s">
        <x:v>11</x:v>
      </x:c>
    </x:row>
    <x:row r="7" ht="15" hidden="0" customHeight="1">
      <x:c r="A7" s="4" t="s">
        <x:v>12</x:v>
      </x:c>
      <x:c r="B7" s="8" t="n">
        <x:f aca="0">B6/B3</x:f>
        <x:v>0.011773623041940373</x:v>
      </x:c>
      <x:c r="C7" s="6"/>
    </x:row>
    <x:row r="8" ht="15" hidden="0" customHeight="1">
      <x:c r="A8" s="4" t="s">
        <x:v>13</x:v>
      </x:c>
      <x:c r="B8" s="9" t="n">
        <x:f aca="0">B3/B4</x:f>
        <x:v>67.91934791934791</x:v>
      </x:c>
      <x:c r="C8" s="6"/>
    </x:row>
    <x:row r="9" ht="15" hidden="0" customHeight="1">
      <x:c r="A9" s="4" t="s">
        <x:v>14</x:v>
      </x:c>
      <x:c r="B9" s="9" t="n">
        <x:f aca="0">B4/Iscritti!D24*100000</x:f>
        <x:v>3.9546369382023427</x:v>
      </x:c>
      <x:c r="C9" s="6"/>
    </x:row>
    <x:row r="10" ht="15" hidden="0" customHeight="1">
      <x:c r="A10" s="4" t="s">
        <x:v>15</x:v>
      </x:c>
      <x:c r="B10" s="9" t="n">
        <x:f aca="0">B5/Iscritti!D24*100000</x:f>
        <x:v>265.43400978266226</x:v>
      </x:c>
      <x:c r="C10" s="6"/>
    </x:row>
    <x:row r="12" ht="15" hidden="0" customHeight="1">
      <x:c r="A12" s="10" t="s">
        <x:v>16</x:v>
      </x:c>
    </x:row>
    <x:row r="13" ht="15" hidden="0" customHeight="1">
      <x:c r="A13" s="10" t="s">
        <x:v>17</x:v>
      </x:c>
    </x:row>
    <x:row r="14" ht="15" hidden="0" customHeight="1">
      <x:c r="A14" s="10" t="s">
        <x:v>18</x:v>
      </x:c>
    </x:row>
    <x:row r="15" ht="15" hidden="0" customHeight="1">
      <x:c r="A15" s="10" t="s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ColWidth="8.6796875" defaultRowHeight="15"/>
  <x:cols>
    <x:col min="1" max="1" width="24" style="1" hidden="0" customWidth="1"/>
    <x:col min="2" max="14" width="14" style="1" hidden="0" customWidth="1"/>
  </x:cols>
  <x:sheetData>
    <x:row r="1" ht="48" hidden="0" customHeight="1">
      <x:c r="A1" s="11" t="s">
        <x:v>20</x:v>
      </x:c>
      <x:c r="B1" s="11" t="s">
        <x:v>21</x:v>
      </x:c>
      <x:c r="C1" s="11" t="s">
        <x:v>22</x:v>
      </x:c>
      <x:c r="D1" s="11" t="s">
        <x:v>23</x:v>
      </x:c>
      <x:c r="E1" s="11" t="s">
        <x:v>24</x:v>
      </x:c>
      <x:c r="F1" s="11" t="s">
        <x:v>25</x:v>
      </x:c>
      <x:c r="G1" s="11" t="s">
        <x:v>26</x:v>
      </x:c>
      <x:c r="H1" s="11" t="s">
        <x:v>27</x:v>
      </x:c>
      <x:c r="I1" s="11" t="s">
        <x:v>28</x:v>
      </x:c>
      <x:c r="J1" s="11" t="s">
        <x:v>29</x:v>
      </x:c>
      <x:c r="K1" s="11" t="s">
        <x:v>30</x:v>
      </x:c>
      <x:c r="L1" s="11" t="s">
        <x:v>31</x:v>
      </x:c>
      <x:c r="M1" s="11" t="s">
        <x:v>32</x:v>
      </x:c>
      <x:c r="N1" s="11" t="s">
        <x:v>33</x:v>
      </x:c>
    </x:row>
    <x:row r="2" ht="15" hidden="0" customHeight="1">
      <x:c r="A2" s="12" t="s">
        <x:v>34</x:v>
      </x:c>
      <x:c r="B2" s="13" t="n">
        <x:v>4325</x:v>
      </x:c>
      <x:c r="C2" s="14" t="n">
        <x:f aca="0">B2/$B$24</x:f>
        <x:v>0.027643554737434167</x:v>
      </x:c>
      <x:c r="D2" s="13" t="n">
        <x:v>1269118</x:v>
      </x:c>
      <x:c r="E2" s="14" t="n">
        <x:f aca="0">D2/$D$24</x:f>
        <x:v>0.021531106485360278</x:v>
      </x:c>
      <x:c r="F2" s="15" t="n">
        <x:f aca="0">B2/D2*100000</x:f>
        <x:v>340.7878542420799</x:v>
      </x:c>
      <x:c r="G2" s="16" t="n">
        <x:f aca="0">C2/E2</x:f>
        <x:v>1.2838891840616713</x:v>
      </x:c>
      <x:c r="H2" s="17" t="n">
        <x:f aca="0">IF(C2=0,0,-C2*LN(C2))</x:f>
        <x:v>0.09919510015976143</x:v>
      </x:c>
      <x:c r="I2" s="17" t="n">
        <x:f aca="0">IF(C2=0,0,C2*LN(C2/E2))</x:f>
        <x:v>0.0069079556007908645</x:v>
      </x:c>
      <x:c r="J2" s="18" t="n">
        <x:v>0</x:v>
      </x:c>
      <x:c r="K2" s="19" t="n">
        <x:f aca="0">J2/$J$24</x:f>
        <x:v>0</x:v>
      </x:c>
      <x:c r="L2" s="17" t="n">
        <x:f aca="0">IF(K2=0,0,-K2*LN(K2))</x:f>
        <x:v>0</x:v>
      </x:c>
      <x:c r="M2" s="17" t="n">
        <x:f aca="0">IF(K2=0,0,K2*LN(K2/C2))</x:f>
        <x:v>0</x:v>
      </x:c>
      <x:c r="N2" s="20" t="n">
        <x:f aca="0">(K2-C2)*100</x:f>
        <x:v>-2.7643554737434166</x:v>
      </x:c>
    </x:row>
    <x:row r="3" ht="15" hidden="0" customHeight="1">
      <x:c r="A3" s="12" t="s">
        <x:v>35</x:v>
      </x:c>
      <x:c r="B3" s="13" t="n">
        <x:v>1297</x:v>
      </x:c>
      <x:c r="C3" s="14" t="n">
        <x:f aca="0">B3/$B$24</x:f>
        <x:v>0.008289870634555403</x:v>
      </x:c>
      <x:c r="D3" s="13" t="n">
        <x:v>530004</x:v>
      </x:c>
      <x:c r="E3" s="14" t="n">
        <x:f aca="0">D3/$D$24</x:f>
        <x:v>0.008991734859695386</x:v>
      </x:c>
      <x:c r="F3" s="15" t="n">
        <x:f aca="0">B3/D3*100000</x:f>
        <x:v>244.71513422540207</x:v>
      </x:c>
      <x:c r="G3" s="16" t="n">
        <x:f aca="0">C3/E3</x:f>
        <x:v>0.9219434029037017</x:v>
      </x:c>
      <x:c r="H3" s="17" t="n">
        <x:f aca="0">IF(C3=0,0,-C3*LN(C3))</x:f>
        <x:v>0.03973103637251359</x:v>
      </x:c>
      <x:c r="I3" s="17" t="n">
        <x:f aca="0">IF(C3=0,0,C3*LN(C3/E3))</x:f>
        <x:v>-0.0006737297441666161</x:v>
      </x:c>
      <x:c r="J3" s="18" t="n">
        <x:v>2</x:v>
      </x:c>
      <x:c r="K3" s="19" t="n">
        <x:f aca="0">J3/$J$24</x:f>
        <x:v>0.05263157894736842</x:v>
      </x:c>
      <x:c r="L3" s="17" t="n">
        <x:f aca="0">IF(K3=0,0,-K3*LN(K3))</x:f>
        <x:v>0.1549704725877074</x:v>
      </x:c>
      <x:c r="M3" s="17" t="n">
        <x:f aca="0">IF(K3=0,0,K3*LN(K3/C3))</x:f>
        <x:v>0.09727799662050529</x:v>
      </x:c>
      <x:c r="N3" s="20" t="n">
        <x:f aca="0">(K3-C3)*100</x:f>
        <x:v>4.4341708312813015</x:v>
      </x:c>
    </x:row>
    <x:row r="4" ht="15" hidden="0" customHeight="1">
      <x:c r="A4" s="12" t="s">
        <x:v>36</x:v>
      </x:c>
      <x:c r="B4" s="13" t="n">
        <x:v>6169</x:v>
      </x:c>
      <x:c r="C4" s="14" t="n">
        <x:f aca="0">B4/$B$24</x:f>
        <x:v>0.03942961599427315</x:v>
      </x:c>
      <x:c r="D4" s="13" t="n">
        <x:v>1834646</x:v>
      </x:c>
      <x:c r="E4" s="14" t="n">
        <x:f aca="0">D4/$D$24</x:f>
        <x:v>0.03112552054965755</x:v>
      </x:c>
      <x:c r="F4" s="15" t="n">
        <x:f aca="0">B4/D4*100000</x:f>
        <x:v>336.250153980659</x:v>
      </x:c>
      <x:c r="G4" s="16" t="n">
        <x:f aca="0">C4/E4</x:f>
        <x:v>1.2667937852273756</x:v>
      </x:c>
      <x:c r="H4" s="17" t="n">
        <x:f aca="0">IF(C4=0,0,-C4*LN(C4))</x:f>
        <x:v>0.12748533552064287</x:v>
      </x:c>
      <x:c r="I4" s="17" t="n">
        <x:f aca="0">IF(C4=0,0,C4*LN(C4/E4))</x:f>
        <x:v>0.009324675574332362</x:v>
      </x:c>
      <x:c r="J4" s="18" t="n">
        <x:v>4</x:v>
      </x:c>
      <x:c r="K4" s="19" t="n">
        <x:f aca="0">J4/$J$24</x:f>
        <x:v>0.10526315789473684</x:v>
      </x:c>
      <x:c r="L4" s="17" t="n">
        <x:f aca="0">IF(K4=0,0,-K4*LN(K4))</x:f>
        <x:v>0.2369780840638416</x:v>
      </x:c>
      <x:c r="M4" s="17" t="n">
        <x:f aca="0">IF(K4=0,0,K4*LN(K4/C4))</x:f>
        <x:v>0.103362765416458</x:v>
      </x:c>
      <x:c r="N4" s="20" t="n">
        <x:f aca="0">(K4-C4)*100</x:f>
        <x:v>6.583354190046369</x:v>
      </x:c>
    </x:row>
    <x:row r="5" ht="15" hidden="0" customHeight="1">
      <x:c r="A5" s="12" t="s">
        <x:v>37</x:v>
      </x:c>
      <x:c r="B5" s="13" t="n">
        <x:v>12731</x:v>
      </x:c>
      <x:c r="C5" s="14" t="n">
        <x:f aca="0">B5/$B$24</x:f>
        <x:v>0.08137112031497673</x:v>
      </x:c>
      <x:c r="D5" s="13" t="n">
        <x:v>5582337</x:v>
      </x:c>
      <x:c r="E5" s="14" t="n">
        <x:f aca="0">D5/$D$24</x:f>
        <x:v>0.09470663278289854</x:v>
      </x:c>
      <x:c r="F5" s="15" t="n">
        <x:f aca="0">B5/D5*100000</x:f>
        <x:v>228.0586069956006</x:v>
      </x:c>
      <x:c r="G5" s="16" t="n">
        <x:f aca="0">C5/E5</x:f>
        <x:v>0.8591913567607079</x:v>
      </x:c>
      <x:c r="H5" s="17" t="n">
        <x:f aca="0">IF(C5=0,0,-C5*LN(C5))</x:f>
        <x:v>0.20413856582310808</x:v>
      </x:c>
      <x:c r="I5" s="17" t="n">
        <x:f aca="0">IF(C5=0,0,C5*LN(C5/E5))</x:f>
        <x:v>-0.012349175368617772</x:v>
      </x:c>
      <x:c r="J5" s="18" t="n">
        <x:v>1</x:v>
      </x:c>
      <x:c r="K5" s="19" t="n">
        <x:f aca="0">J5/$J$24</x:f>
        <x:v>0.02631578947368421</x:v>
      </x:c>
      <x:c r="L5" s="17" t="n">
        <x:f aca="0">IF(K5=0,0,-K5*LN(K5))</x:f>
        <x:v>0.09572595157174699</x:v>
      </x:c>
      <x:c r="M5" s="17" t="n">
        <x:f aca="0">IF(K5=0,0,K5*LN(K5/C5))</x:f>
        <x:v>-0.029706613250409106</x:v>
      </x:c>
      <x:c r="N5" s="20" t="n">
        <x:f aca="0">(K5-C5)*100</x:f>
        <x:v>-5.505533084129252</x:v>
      </x:c>
    </x:row>
    <x:row r="6" ht="15" hidden="0" customHeight="1">
      <x:c r="A6" s="12" t="s">
        <x:v>38</x:v>
      </x:c>
      <x:c r="B6" s="13" t="n">
        <x:v>9405</x:v>
      </x:c>
      <x:c r="C6" s="14" t="n">
        <x:f aca="0">B6/$B$24</x:f>
        <x:v>0.060112747353888635</x:v>
      </x:c>
      <x:c r="D6" s="13" t="n">
        <x:v>4461998</x:v>
      </x:c>
      <x:c r="E6" s="14" t="n">
        <x:f aca="0">D6/$D$24</x:f>
        <x:v>0.07569962294716849</x:v>
      </x:c>
      <x:c r="F6" s="15" t="n">
        <x:f aca="0">B6/D6*100000</x:f>
        <x:v>210.78001379651</x:v>
      </x:c>
      <x:c r="G6" s="16" t="n">
        <x:f aca="0">C6/E6</x:f>
        <x:v>0.7940957301179943</x:v>
      </x:c>
      <x:c r="H6" s="17" t="n">
        <x:f aca="0">IF(C6=0,0,-C6*LN(C6))</x:f>
        <x:v>0.16900899439867323</x:v>
      </x:c>
      <x:c r="I6" s="17" t="n">
        <x:f aca="0">IF(C6=0,0,C6*LN(C6/E6))</x:f>
        <x:v>-0.01385906953048897</x:v>
      </x:c>
      <x:c r="J6" s="18" t="n">
        <x:v>2</x:v>
      </x:c>
      <x:c r="K6" s="19" t="n">
        <x:f aca="0">J6/$J$24</x:f>
        <x:v>0.05263157894736842</x:v>
      </x:c>
      <x:c r="L6" s="17" t="n">
        <x:f aca="0">IF(K6=0,0,-K6*LN(K6))</x:f>
        <x:v>0.1549704725877074</x:v>
      </x:c>
      <x:c r="M6" s="17" t="n">
        <x:f aca="0">IF(K6=0,0,K6*LN(K6/C6))</x:f>
        <x:v>-0.006995032717320335</x:v>
      </x:c>
      <x:c r="N6" s="20" t="n">
        <x:f aca="0">(K6-C6)*100</x:f>
        <x:v>-0.7481168406520217</x:v>
      </x:c>
    </x:row>
    <x:row r="7" ht="15" hidden="0" customHeight="1">
      <x:c r="A7" s="12" t="s">
        <x:v>39</x:v>
      </x:c>
      <x:c r="B7" s="13" t="n">
        <x:v>3762</x:v>
      </x:c>
      <x:c r="C7" s="14" t="n">
        <x:f aca="0">B7/$B$24</x:f>
        <x:v>0.024045098941555453</x:v>
      </x:c>
      <x:c r="D7" s="13" t="n">
        <x:v>1193284</x:v>
      </x:c>
      <x:c r="E7" s="14" t="n">
        <x:f aca="0">D7/$D$24</x:f>
        <x:v>0.020244551626623097</x:v>
      </x:c>
      <x:c r="F7" s="15" t="n">
        <x:f aca="0">B7/D7*100000</x:f>
        <x:v>315.26442992615335</x:v>
      </x:c>
      <x:c r="G7" s="16" t="n">
        <x:f aca="0">C7/E7</x:f>
        <x:v>1.1877318591701658</x:v>
      </x:c>
      <x:c r="H7" s="17" t="n">
        <x:f aca="0">IF(C7=0,0,-C7*LN(C7))</x:f>
        <x:v>0.08963589906661361</x:v>
      </x:c>
      <x:c r="I7" s="17" t="n">
        <x:f aca="0">IF(C7=0,0,C7*LN(C7/E7))</x:f>
        <x:v>0.004136850774084065</x:v>
      </x:c>
      <x:c r="J7" s="18" t="n">
        <x:v>0</x:v>
      </x:c>
      <x:c r="K7" s="19" t="n">
        <x:f aca="0">J7/$J$24</x:f>
        <x:v>0</x:v>
      </x:c>
      <x:c r="L7" s="17" t="n">
        <x:f aca="0">IF(K7=0,0,-K7*LN(K7))</x:f>
        <x:v>0</x:v>
      </x:c>
      <x:c r="M7" s="17" t="n">
        <x:f aca="0">IF(K7=0,0,K7*LN(K7/C7))</x:f>
        <x:v>0</x:v>
      </x:c>
      <x:c r="N7" s="20" t="n">
        <x:f aca="0">(K7-C7)*100</x:f>
        <x:v>-2.404509894155545</x:v>
      </x:c>
    </x:row>
    <x:row r="8" ht="15" hidden="0" customHeight="1">
      <x:c r="A8" s="12" t="s">
        <x:v>40</x:v>
      </x:c>
      <x:c r="B8" s="13" t="n">
        <x:v>15889</x:v>
      </x:c>
      <x:c r="C8" s="14" t="n">
        <x:f aca="0">B8/$B$24</x:f>
        <x:v>0.10155570895331595</x:v>
      </x:c>
      <x:c r="D8" s="13" t="n">
        <x:v>5709178</x:v>
      </x:c>
      <x:c r="E8" s="14" t="n">
        <x:f aca="0">D8/$D$24</x:f>
        <x:v>0.09685854228044691</x:v>
      </x:c>
      <x:c r="F8" s="15" t="n">
        <x:f aca="0">B8/D8*100000</x:f>
        <x:v>278.30626405412477</x:v>
      </x:c>
      <x:c r="G8" s="16" t="n">
        <x:f aca="0">C8/E8</x:f>
        <x:v>1.048495120433144</x:v>
      </x:c>
      <x:c r="H8" s="17" t="n">
        <x:f aca="0">IF(C8=0,0,-C8*LN(C8))</x:f>
        <x:v>0.2322729137085778</x:v>
      </x:c>
      <x:c r="I8" s="17" t="n">
        <x:f aca="0">IF(C8=0,0,C8*LN(C8/E8))</x:f>
        <x:v>0.004809263774249565</x:v>
      </x:c>
      <x:c r="J8" s="18" t="n">
        <x:v>1</x:v>
      </x:c>
      <x:c r="K8" s="19" t="n">
        <x:f aca="0">J8/$J$24</x:f>
        <x:v>0.02631578947368421</x:v>
      </x:c>
      <x:c r="L8" s="17" t="n">
        <x:f aca="0">IF(K8=0,0,-K8*LN(K8))</x:f>
        <x:v>0.09572595157174699</x:v>
      </x:c>
      <x:c r="M8" s="17" t="n">
        <x:f aca="0">IF(K8=0,0,K8*LN(K8/C8))</x:f>
        <x:v>-0.035537852245849155</x:v>
      </x:c>
      <x:c r="N8" s="20" t="n">
        <x:f aca="0">(K8-C8)*100</x:f>
        <x:v>-7.523991947963174</x:v>
      </x:c>
    </x:row>
    <x:row r="9" ht="15" hidden="0" customHeight="1">
      <x:c r="A9" s="12" t="s">
        <x:v>41</x:v>
      </x:c>
      <x:c r="B9" s="13" t="n">
        <x:v>4955</x:v>
      </x:c>
      <x:c r="C9" s="14" t="n">
        <x:f aca="0">B9/$B$24</x:f>
        <x:v>0.031670245947742495</x:v>
      </x:c>
      <x:c r="D9" s="13" t="n">
        <x:v>1510143</x:v>
      </x:c>
      <x:c r="E9" s="14" t="n">
        <x:f aca="0">D9/$D$24</x:f>
        <x:v>0.025620194293297725</x:v>
      </x:c>
      <x:c r="F9" s="15" t="n">
        <x:f aca="0">B9/D9*100000</x:f>
        <x:v>328.1146222576273</x:v>
      </x:c>
      <x:c r="G9" s="16" t="n">
        <x:f aca="0">C9/E9</x:f>
        <x:v>1.2361438631254826</x:v>
      </x:c>
      <x:c r="H9" s="17" t="n">
        <x:f aca="0">IF(C9=0,0,-C9*LN(C9))</x:f>
        <x:v>0.10933764935943079</x:v>
      </x:c>
      <x:c r="I9" s="17" t="n">
        <x:f aca="0">IF(C9=0,0,C9*LN(C9/E9))</x:f>
        <x:v>0.006713989097871208</x:v>
      </x:c>
      <x:c r="J9" s="18" t="n">
        <x:v>2</x:v>
      </x:c>
      <x:c r="K9" s="19" t="n">
        <x:f aca="0">J9/$J$24</x:f>
        <x:v>0.05263157894736842</x:v>
      </x:c>
      <x:c r="L9" s="17" t="n">
        <x:f aca="0">IF(K9=0,0,-K9*LN(K9))</x:f>
        <x:v>0.1549704725877074</x:v>
      </x:c>
      <x:c r="M9" s="17" t="n">
        <x:f aca="0">IF(K9=0,0,K9*LN(K9/C9))</x:f>
        <x:v>0.02673361438641874</x:v>
      </x:c>
      <x:c r="N9" s="20" t="n">
        <x:f aca="0">(K9-C9)*100</x:f>
        <x:v>2.096133299962592</x:v>
      </x:c>
    </x:row>
    <x:row r="10" ht="15" hidden="0" customHeight="1">
      <x:c r="A10" s="12" t="s">
        <x:v>42</x:v>
      </x:c>
      <x:c r="B10" s="13" t="n">
        <x:v>23693</x:v>
      </x:c>
      <x:c r="C10" s="14" t="n">
        <x:f aca="0">B10/$B$24</x:f>
        <x:v>0.15143554737434167</x:v>
      </x:c>
      <x:c r="D10" s="13" t="n">
        <x:v>10033918</x:v>
      </x:c>
      <x:c r="E10" s="14" t="n">
        <x:f aca="0">D10/$D$24</x:f>
        <x:v>0.17022952706003164</x:v>
      </x:c>
      <x:c r="F10" s="15" t="n">
        <x:f aca="0">B10/D10*100000</x:f>
        <x:v>236.12909732768395</x:v>
      </x:c>
      <x:c r="G10" s="16" t="n">
        <x:f aca="0">C10/E10</x:f>
        <x:v>0.8895962409678654</x:v>
      </x:c>
      <x:c r="H10" s="17" t="n">
        <x:f aca="0">IF(C10=0,0,-C10*LN(C10))</x:f>
        <x:v>0.2858490084603685</x:v>
      </x:c>
      <x:c r="I10" s="17" t="n">
        <x:f aca="0">IF(C10=0,0,C10*LN(C10/E10))</x:f>
        <x:v>-0.017716078368592736</x:v>
      </x:c>
      <x:c r="J10" s="18" t="n">
        <x:v>7</x:v>
      </x:c>
      <x:c r="K10" s="19" t="n">
        <x:f aca="0">J10/$J$24</x:f>
        <x:v>0.18421052631578946</x:v>
      </x:c>
      <x:c r="L10" s="17" t="n">
        <x:f aca="0">IF(K10=0,0,-K10*LN(K10))</x:f>
        <x:v>0.3116245282815133</x:v>
      </x:c>
      <x:c r="M10" s="17" t="n">
        <x:f aca="0">IF(K10=0,0,K10*LN(K10/C10))</x:f>
        <x:v>0.036090372270646015</x:v>
      </x:c>
      <x:c r="N10" s="20" t="n">
        <x:f aca="0">(K10-C10)*100</x:f>
        <x:v>3.277497894144779</x:v>
      </x:c>
    </x:row>
    <x:row r="11" ht="15" hidden="0" customHeight="1">
      <x:c r="A11" s="12" t="s">
        <x:v>43</x:v>
      </x:c>
      <x:c r="B11" s="13" t="n">
        <x:v>4261</x:v>
      </x:c>
      <x:c r="C11" s="14" t="n">
        <x:f aca="0">B11/$B$24</x:f>
        <x:v>0.02723449404305364</x:v>
      </x:c>
      <x:c r="D11" s="13" t="n">
        <x:v>1480545</x:v>
      </x:c>
      <x:c r="E11" s="14" t="n">
        <x:f aca="0">D11/$D$24</x:f>
        <x:v>0.025118052104979784</x:v>
      </x:c>
      <x:c r="F11" s="15" t="n">
        <x:f aca="0">B11/D11*100000</x:f>
        <x:v>287.7994252116619</x:v>
      </x:c>
      <x:c r="G11" s="16" t="n">
        <x:f aca="0">C11/E11</x:f>
        <x:v>1.0842597956731788</x:v>
      </x:c>
      <x:c r="H11" s="17" t="n">
        <x:f aca="0">IF(C11=0,0,-C11*LN(C11))</x:f>
        <x:v>0.09813326110815139</x:v>
      </x:c>
      <x:c r="I11" s="17" t="n">
        <x:f aca="0">IF(C11=0,0,C11*LN(C11/E11))</x:f>
        <x:v>0.0022032035224178984</x:v>
      </x:c>
      <x:c r="J11" s="18" t="n">
        <x:v>1</x:v>
      </x:c>
      <x:c r="K11" s="19" t="n">
        <x:f aca="0">J11/$J$24</x:f>
        <x:v>0.02631578947368421</x:v>
      </x:c>
      <x:c r="L11" s="17" t="n">
        <x:f aca="0">IF(K11=0,0,-K11*LN(K11))</x:f>
        <x:v>0.09572595157174699</x:v>
      </x:c>
      <x:c r="M11" s="17" t="n">
        <x:f aca="0">IF(K11=0,0,K11*LN(K11/C11))</x:f>
        <x:v>-0.0009030319461529719</x:v>
      </x:c>
      <x:c r="N11" s="20" t="n">
        <x:f aca="0">(K11-C11)*100</x:f>
        <x:v>-0.09187045693694294</x:v>
      </x:c>
    </x:row>
    <x:row r="12" ht="15" hidden="0" customHeight="1">
      <x:c r="A12" s="12" t="s">
        <x:v>44</x:v>
      </x:c>
      <x:c r="B12" s="13" t="n">
        <x:v>1132</x:v>
      </x:c>
      <x:c r="C12" s="14" t="n">
        <x:f aca="0">B12/$B$24</x:f>
        <x:v>0.007235261031855601</x:v>
      </x:c>
      <x:c r="D12" s="13" t="n">
        <x:v>287814</x:v>
      </x:c>
      <x:c r="E12" s="14" t="n">
        <x:f aca="0">D12/$D$24</x:f>
        <x:v>0.004882882349771639</x:v>
      </x:c>
      <x:c r="F12" s="15" t="n">
        <x:f aca="0">B12/D12*100000</x:f>
        <x:v>393.3095679848791</x:v>
      </x:c>
      <x:c r="G12" s="16" t="n">
        <x:f aca="0">C12/E12</x:f>
        <x:v>1.4817602623978803</x:v>
      </x:c>
      <x:c r="H12" s="17" t="n">
        <x:f aca="0">IF(C12=0,0,-C12*LN(C12))</x:f>
        <x:v>0.0356610738319821</x:v>
      </x:c>
      <x:c r="I12" s="17" t="n">
        <x:f aca="0">IF(C12=0,0,C12*LN(C12/E12))</x:f>
        <x:v>0.0028451271040956837</x:v>
      </x:c>
      <x:c r="J12" s="18" t="n">
        <x:v>0</x:v>
      </x:c>
      <x:c r="K12" s="19" t="n">
        <x:f aca="0">J12/$J$24</x:f>
        <x:v>0</x:v>
      </x:c>
      <x:c r="L12" s="17" t="n">
        <x:f aca="0">IF(K12=0,0,-K12*LN(K12))</x:f>
        <x:v>0</x:v>
      </x:c>
      <x:c r="M12" s="17" t="n">
        <x:f aca="0">IF(K12=0,0,K12*LN(K12/C12))</x:f>
        <x:v>0</x:v>
      </x:c>
      <x:c r="N12" s="20" t="n">
        <x:f aca="0">(K12-C12)*100</x:f>
        <x:v>-0.7235261031855601</x:v>
      </x:c>
    </x:row>
    <x:row r="13" ht="15" hidden="0" customHeight="1">
      <x:c r="A13" s="12" t="s">
        <x:v>45</x:v>
      </x:c>
      <x:c r="B13" s="13" t="n">
        <x:v>11507</x:v>
      </x:c>
      <x:c r="C13" s="14" t="n">
        <x:f aca="0">B13/$B$24</x:f>
        <x:v>0.07354783453494912</x:v>
      </x:c>
      <x:c r="D13" s="13" t="n">
        <x:v>4251868</x:v>
      </x:c>
      <x:c r="E13" s="14" t="n">
        <x:f aca="0">D13/$D$24</x:f>
        <x:v>0.07213468146358008</x:v>
      </x:c>
      <x:c r="F13" s="15" t="n">
        <x:f aca="0">B13/D13*100000</x:f>
        <x:v>270.6339895782277</x:v>
      </x:c>
      <x:c r="G13" s="16" t="n">
        <x:f aca="0">C13/E13</x:f>
        <x:v>1.0195904805108555</x:v>
      </x:c>
      <x:c r="H13" s="17" t="n">
        <x:f aca="0">IF(C13=0,0,-C13*LN(C13))</x:f>
        <x:v>0.19194655616329798</x:v>
      </x:c>
      <x:c r="I13" s="17" t="n">
        <x:f aca="0">IF(C13=0,0,C13*LN(C13/E13))</x:f>
        <x:v>0.00142690572874271</x:v>
      </x:c>
      <x:c r="J13" s="18" t="n">
        <x:v>5</x:v>
      </x:c>
      <x:c r="K13" s="19" t="n">
        <x:f aca="0">J13/$J$24</x:f>
        <x:v>0.13157894736842105</x:v>
      </x:c>
      <x:c r="L13" s="17" t="n">
        <x:f aca="0">IF(K13=0,0,-K13*LN(K13))</x:f>
        <x:v>0.26686161148582704</x:v>
      </x:c>
      <x:c r="M13" s="17" t="n">
        <x:f aca="0">IF(K13=0,0,K13*LN(K13/C13))</x:f>
        <x:v>0.07653566146799223</x:v>
      </x:c>
      <x:c r="N13" s="20" t="n">
        <x:f aca="0">(K13-C13)*100</x:f>
        <x:v>5.803111283347192</x:v>
      </x:c>
    </x:row>
    <x:row r="14" ht="15" hidden="0" customHeight="1">
      <x:c r="A14" s="12" t="s">
        <x:v>46</x:v>
      </x:c>
      <x:c r="B14" s="13" t="n">
        <x:v>13552</x:v>
      </x:c>
      <x:c r="C14" s="14" t="n">
        <x:f aca="0">B14/$B$24</x:f>
        <x:v>0.08661860203507696</x:v>
      </x:c>
      <x:c r="D14" s="13" t="n">
        <x:v>3877395</x:v>
      </x:c>
      <x:c r="E14" s="14" t="n">
        <x:f aca="0">D14/$D$24</x:f>
        <x:v>0.06578159369798829</x:v>
      </x:c>
      <x:c r="F14" s="15" t="n">
        <x:f aca="0">B14/D14*100000</x:f>
        <x:v>349.51301066824504</x:v>
      </x:c>
      <x:c r="G14" s="16" t="n">
        <x:f aca="0">C14/E14</x:f>
        <x:v>1.3167604669591015</x:v>
      </x:c>
      <x:c r="H14" s="17" t="n">
        <x:f aca="0">IF(C14=0,0,-C14*LN(C14))</x:f>
        <x:v>0.21188994814914455</x:v>
      </x:c>
      <x:c r="I14" s="17" t="n">
        <x:f aca="0">IF(C14=0,0,C14*LN(C14/E14))</x:f>
        <x:v>0.023835232968775048</x:v>
      </x:c>
      <x:c r="J14" s="18" t="n">
        <x:v>1</x:v>
      </x:c>
      <x:c r="K14" s="19" t="n">
        <x:f aca="0">J14/$J$24</x:f>
        <x:v>0.02631578947368421</x:v>
      </x:c>
      <x:c r="L14" s="17" t="n">
        <x:f aca="0">IF(K14=0,0,-K14*LN(K14))</x:f>
        <x:v>0.09572595157174699</x:v>
      </x:c>
      <x:c r="M14" s="17" t="n">
        <x:f aca="0">IF(K14=0,0,K14*LN(K14/C14))</x:f>
        <x:v>-0.03135119677225622</x:v>
      </x:c>
      <x:c r="N14" s="20" t="n">
        <x:f aca="0">(K14-C14)*100</x:f>
        <x:v>-6.030281256139275</x:v>
      </x:c>
    </x:row>
    <x:row r="15" ht="15" hidden="0" customHeight="1">
      <x:c r="A15" s="12" t="s">
        <x:v>47</x:v>
      </x:c>
      <x:c r="B15" s="13" t="n">
        <x:v>5096</x:v>
      </x:c>
      <x:c r="C15" s="14" t="n">
        <x:f aca="0">B15/$B$24</x:f>
        <x:v>0.0325714577900496</x:v>
      </x:c>
      <x:c r="D15" s="13" t="n">
        <x:v>1562381</x:v>
      </x:c>
      <x:c r="E15" s="14" t="n">
        <x:f aca="0">D15/$D$24</x:f>
        <x:v>0.026506433351117607</x:v>
      </x:c>
      <x:c r="F15" s="15" t="n">
        <x:f aca="0">B15/D15*100000</x:f>
        <x:v>326.168841018932</x:v>
      </x:c>
      <x:c r="G15" s="16" t="n">
        <x:f aca="0">C15/E15</x:f>
        <x:v>1.2288132982129891</x:v>
      </x:c>
      <x:c r="H15" s="17" t="n">
        <x:f aca="0">IF(C15=0,0,-C15*LN(C15))</x:f>
        <x:v>0.11153505857682924</x:v>
      </x:c>
      <x:c r="I15" s="17" t="n">
        <x:f aca="0">IF(C15=0,0,C15*LN(C15/E15))</x:f>
        <x:v>0.006711313227076533</x:v>
      </x:c>
      <x:c r="J15" s="18" t="n">
        <x:v>0</x:v>
      </x:c>
      <x:c r="K15" s="19" t="n">
        <x:f aca="0">J15/$J$24</x:f>
        <x:v>0</x:v>
      </x:c>
      <x:c r="L15" s="17" t="n">
        <x:f aca="0">IF(K15=0,0,-K15*LN(K15))</x:f>
        <x:v>0</x:v>
      </x:c>
      <x:c r="M15" s="17" t="n">
        <x:f aca="0">IF(K15=0,0,K15*LN(K15/C15))</x:f>
        <x:v>0</x:v>
      </x:c>
      <x:c r="N15" s="20" t="n">
        <x:f aca="0">(K15-C15)*100</x:f>
        <x:v>-3.25714577900496</x:v>
      </x:c>
    </x:row>
    <x:row r="16" ht="15" hidden="0" customHeight="1">
      <x:c r="A16" s="12" t="s">
        <x:v>48</x:v>
      </x:c>
      <x:c r="B16" s="13" t="n">
        <x:v>10983</x:v>
      </x:c>
      <x:c r="C16" s="14" t="n">
        <x:f aca="0">B16/$B$24</x:f>
        <x:v>0.07019865009970855</x:v>
      </x:c>
      <x:c r="D16" s="13" t="n">
        <x:v>4787390</x:v>
      </x:c>
      <x:c r="E16" s="14" t="n">
        <x:f aca="0">D16/$D$24</x:f>
        <x:v>0.08122003145251185</x:v>
      </x:c>
      <x:c r="F16" s="15" t="n">
        <x:f aca="0">B16/D16*100000</x:f>
        <x:v>229.41519282949582</x:v>
      </x:c>
      <x:c r="G16" s="16" t="n">
        <x:f aca="0">C16/E16</x:f>
        <x:v>0.864302178222532</x:v>
      </x:c>
      <x:c r="H16" s="17" t="n">
        <x:f aca="0">IF(C16=0,0,-C16*LN(C16))</x:f>
        <x:v>0.18647753315288834</x:v>
      </x:c>
      <x:c r="I16" s="17" t="n">
        <x:f aca="0">IF(C16=0,0,C16*LN(C16/E16))</x:f>
        <x:v>-0.010237267666588269</x:v>
      </x:c>
      <x:c r="J16" s="18" t="n">
        <x:v>1</x:v>
      </x:c>
      <x:c r="K16" s="19" t="n">
        <x:f aca="0">J16/$J$24</x:f>
        <x:v>0.02631578947368421</x:v>
      </x:c>
      <x:c r="L16" s="17" t="n">
        <x:f aca="0">IF(K16=0,0,-K16*LN(K16))</x:f>
        <x:v>0.09572595157174699</x:v>
      </x:c>
      <x:c r="M16" s="17" t="n">
        <x:f aca="0">IF(K16=0,0,K16*LN(K16/C16))</x:f>
        <x:v>-0.025819999006374914</x:v>
      </x:c>
      <x:c r="N16" s="20" t="n">
        <x:f aca="0">(K16-C16)*100</x:f>
        <x:v>-4.388286062602434</x:v>
      </x:c>
    </x:row>
    <x:row r="17" ht="15" hidden="0" customHeight="1">
      <x:c r="A17" s="12" t="s">
        <x:v>49</x:v>
      </x:c>
      <x:c r="B17" s="13" t="n">
        <x:v>7552</x:v>
      </x:c>
      <x:c r="C17" s="14" t="n">
        <x:f aca="0">B17/$B$24</x:f>
        <x:v>0.04826916193690239</x:v>
      </x:c>
      <x:c r="D17" s="13" t="n">
        <x:v>3657716</x:v>
      </x:c>
      <x:c r="E17" s="14" t="n">
        <x:f aca="0">D17/$D$24</x:f>
        <x:v>0.062054649519749976</x:v>
      </x:c>
      <x:c r="F17" s="15" t="n">
        <x:f aca="0">B17/D17*100000</x:f>
        <x:v>206.4676426491286</x:v>
      </x:c>
      <x:c r="G17" s="16" t="n">
        <x:f aca="0">C17/E17</x:f>
        <x:v>0.7778492395084736</x:v>
      </x:c>
      <x:c r="H17" s="17" t="n">
        <x:f aca="0">IF(C17=0,0,-C17*LN(C17))</x:f>
        <x:v>0.1463020144974233</x:v>
      </x:c>
      <x:c r="I17" s="17" t="n">
        <x:f aca="0">IF(C17=0,0,C17*LN(C17/E17))</x:f>
        <x:v>-0.0121263020994039</x:v>
      </x:c>
      <x:c r="J17" s="18" t="n">
        <x:v>5</x:v>
      </x:c>
      <x:c r="K17" s="19" t="n">
        <x:f aca="0">J17/$J$24</x:f>
        <x:v>0.13157894736842105</x:v>
      </x:c>
      <x:c r="L17" s="17" t="n">
        <x:f aca="0">IF(K17=0,0,-K17*LN(K17))</x:f>
        <x:v>0.26686161148582704</x:v>
      </x:c>
      <x:c r="M17" s="17" t="n">
        <x:f aca="0">IF(K17=0,0,K17*LN(K17/C17))</x:f>
        <x:v>0.1319492294940609</x:v>
      </x:c>
      <x:c r="N17" s="20" t="n">
        <x:f aca="0">(K17-C17)*100</x:f>
        <x:v>8.330978543151865</x:v>
      </x:c>
    </x:row>
    <x:row r="18" ht="15" hidden="0" customHeight="1">
      <x:c r="A18" s="12" t="s">
        <x:v>50</x:v>
      </x:c>
      <x:c r="B18" s="13" t="n">
        <x:v>1877</x:v>
      </x:c>
      <x:c r="C18" s="14" t="n">
        <x:f aca="0">B18/$B$24</x:f>
        <x:v>0.011996983177378944</x:v>
      </x:c>
      <x:c r="D18" s="13" t="n">
        <x:v>1086252</x:v>
      </x:c>
      <x:c r="E18" s="14" t="n">
        <x:f aca="0">D18/$D$24</x:f>
        <x:v>0.018428709924479498</x:v>
      </x:c>
      <x:c r="F18" s="15" t="n">
        <x:f aca="0">B18/D18*100000</x:f>
        <x:v>172.79599945500675</x:v>
      </x:c>
      <x:c r="G18" s="16" t="n">
        <x:f aca="0">C18/E18</x:f>
        <x:v>0.6509941947397486</x:v>
      </x:c>
      <x:c r="H18" s="17" t="n">
        <x:f aca="0">IF(C18=0,0,-C18*LN(C18))</x:f>
        <x:v>0.05306385704390741</x:v>
      </x:c>
      <x:c r="I18" s="17" t="n">
        <x:f aca="0">IF(C18=0,0,C18*LN(C18/E18))</x:f>
        <x:v>-0.005149759666316003</x:v>
      </x:c>
      <x:c r="J18" s="18" t="n">
        <x:v>2</x:v>
      </x:c>
      <x:c r="K18" s="19" t="n">
        <x:f aca="0">J18/$J$24</x:f>
        <x:v>0.05263157894736842</x:v>
      </x:c>
      <x:c r="L18" s="17" t="n">
        <x:f aca="0">IF(K18=0,0,-K18*LN(K18))</x:f>
        <x:v>0.1549704725877074</x:v>
      </x:c>
      <x:c r="M18" s="17" t="n">
        <x:f aca="0">IF(K18=0,0,K18*LN(K18/C18))</x:f>
        <x:v>0.07782426755365976</x:v>
      </x:c>
      <x:c r="N18" s="20" t="n">
        <x:f aca="0">(K18-C18)*100</x:f>
        <x:v>4.063459576998947</x:v>
      </x:c>
    </x:row>
    <x:row r="19" ht="15" hidden="0" customHeight="1">
      <x:c r="A19" s="12" t="s">
        <x:v>51</x:v>
      </x:c>
      <x:c r="B19" s="13" t="n">
        <x:v>2109</x:v>
      </x:c>
      <x:c r="C19" s="14" t="n">
        <x:f aca="0">B19/$B$24</x:f>
        <x:v>0.01347982819450836</x:v>
      </x:c>
      <x:c r="D19" s="13" t="n">
        <x:v>851473</x:v>
      </x:c>
      <x:c r="E19" s="14" t="n">
        <x:f aca="0">D19/$D$24</x:f>
        <x:v>0.014445588063843686</x:v>
      </x:c>
      <x:c r="F19" s="15" t="n">
        <x:f aca="0">B19/D19*100000</x:f>
        <x:v>247.68841760102788</x:v>
      </x:c>
      <x:c r="G19" s="16" t="n">
        <x:f aca="0">C19/E19</x:f>
        <x:v>0.9331449945085617</x:v>
      </x:c>
      <x:c r="H19" s="17" t="n">
        <x:f aca="0">IF(C19=0,0,-C19*LN(C19))</x:f>
        <x:v>0.058051701294523285</x:v>
      </x:c>
      <x:c r="I19" s="17" t="n">
        <x:f aca="0">IF(C19=0,0,C19*LN(C19/E19))</x:f>
        <x:v>-0.0009327324448468367</x:v>
      </x:c>
      <x:c r="J19" s="18" t="n">
        <x:v>0</x:v>
      </x:c>
      <x:c r="K19" s="19" t="n">
        <x:f aca="0">J19/$J$24</x:f>
        <x:v>0</x:v>
      </x:c>
      <x:c r="L19" s="17" t="n">
        <x:f aca="0">IF(K19=0,0,-K19*LN(K19))</x:f>
        <x:v>0</x:v>
      </x:c>
      <x:c r="M19" s="17" t="n">
        <x:f aca="0">IF(K19=0,0,K19*LN(K19/C19))</x:f>
        <x:v>0</x:v>
      </x:c>
      <x:c r="N19" s="20" t="n">
        <x:f aca="0">(K19-C19)*100</x:f>
        <x:v>-1.347982819450836</x:v>
      </x:c>
    </x:row>
    <x:row r="20" ht="15" hidden="0" customHeight="1">
      <x:c r="A20" s="12" t="s">
        <x:v>52</x:v>
      </x:c>
      <x:c r="B20" s="13" t="n">
        <x:v>215</x:v>
      </x:c>
      <x:c r="C20" s="14" t="n">
        <x:f aca="0">B20/$B$24</x:f>
        <x:v>0.0013741882701845886</x:v>
      </x:c>
      <x:c r="D20" s="13" t="n">
        <x:v>122532</x:v>
      </x:c>
      <x:c r="E20" s="14" t="n">
        <x:f aca="0">D20/$D$24</x:f>
        <x:v>0.002078805548313211</x:v>
      </x:c>
      <x:c r="F20" s="15" t="n">
        <x:f aca="0">B20/D20*100000</x:f>
        <x:v>175.46436849149612</x:v>
      </x:c>
      <x:c r="G20" s="16" t="n">
        <x:f aca="0">C20/E20</x:f>
        <x:v>0.6610470475700027</x:v>
      </x:c>
      <x:c r="H20" s="17" t="n">
        <x:f aca="0">IF(C20=0,0,-C20*LN(C20))</x:f>
        <x:v>0.009055752385949639</x:v>
      </x:c>
      <x:c r="I20" s="17" t="n">
        <x:f aca="0">IF(C20=0,0,C20*LN(C20/E20))</x:f>
        <x:v>-0.0005688181152625092</x:v>
      </x:c>
      <x:c r="J20" s="18" t="n">
        <x:v>0</x:v>
      </x:c>
      <x:c r="K20" s="19" t="n">
        <x:f aca="0">J20/$J$24</x:f>
        <x:v>0</x:v>
      </x:c>
      <x:c r="L20" s="17" t="n">
        <x:f aca="0">IF(K20=0,0,-K20*LN(K20))</x:f>
        <x:v>0</x:v>
      </x:c>
      <x:c r="M20" s="17" t="n">
        <x:f aca="0">IF(K20=0,0,K20*LN(K20/C20))</x:f>
        <x:v>0</x:v>
      </x:c>
      <x:c r="N20" s="20" t="n">
        <x:f aca="0">(K20-C20)*100</x:f>
        <x:v>-0.13741882701845887</x:v>
      </x:c>
    </x:row>
    <x:row r="21" ht="15" hidden="0" customHeight="1">
      <x:c r="A21" s="12" t="s">
        <x:v>53</x:v>
      </x:c>
      <x:c r="B21" s="13" t="n">
        <x:v>15946</x:v>
      </x:c>
      <x:c r="C21" s="14" t="n">
        <x:f aca="0">B21/$B$24</x:f>
        <x:v>0.10192002863424861</x:v>
      </x:c>
      <x:c r="D21" s="13" t="n">
        <x:v>4853472</x:v>
      </x:c>
      <x:c r="E21" s="14" t="n">
        <x:f aca="0">D21/$D$24</x:f>
        <x:v>0.08234113963848477</x:v>
      </x:c>
      <x:c r="F21" s="15" t="n">
        <x:f aca="0">B21/D21*100000</x:f>
        <x:v>328.54830521325766</x:v>
      </x:c>
      <x:c r="G21" s="16" t="n">
        <x:f aca="0">C21/E21</x:f>
        <x:v>1.237777726683455</x:v>
      </x:c>
      <x:c r="H21" s="17" t="n">
        <x:f aca="0">IF(C21=0,0,-C21*LN(C21))</x:f>
        <x:v>0.23274119427714732</x:v>
      </x:c>
      <x:c r="I21" s="17" t="n">
        <x:f aca="0">IF(C21=0,0,C21*LN(C21/E21))</x:f>
        <x:v>0.021741337519070817</x:v>
      </x:c>
      <x:c r="J21" s="18" t="n">
        <x:v>4</x:v>
      </x:c>
      <x:c r="K21" s="19" t="n">
        <x:f aca="0">J21/$J$24</x:f>
        <x:v>0.10526315789473684</x:v>
      </x:c>
      <x:c r="L21" s="17" t="n">
        <x:f aca="0">IF(K21=0,0,-K21*LN(K21))</x:f>
        <x:v>0.2369780840638416</x:v>
      </x:c>
      <x:c r="M21" s="17" t="n">
        <x:f aca="0">IF(K21=0,0,K21*LN(K21/C21))</x:f>
        <x:v>0.0033973692214262093</x:v>
      </x:c>
      <x:c r="N21" s="20" t="n">
        <x:f aca="0">(K21-C21)*100</x:f>
        <x:v>0.33431292604882284</x:v>
      </x:c>
    </x:row>
    <x:row r="22" ht="15" hidden="0" customHeight="1">
      <x:c r="A22" s="12" t="s">
        <x:v>54</x:v>
      </x:c>
      <x:c r="B22" s="21" t="n">
        <x:f aca="0">Parametri!B3-B24</x:f>
        <x:v>1864</x:v>
      </x:c>
      <x:c r="C22" s="14"/>
      <x:c r="D22" s="21"/>
      <x:c r="E22" s="14"/>
      <x:c r="F22" s="15"/>
      <x:c r="G22" s="16"/>
      <x:c r="H22" s="17"/>
      <x:c r="I22" s="17"/>
      <x:c r="J22" s="22"/>
      <x:c r="K22" s="19"/>
      <x:c r="L22" s="17"/>
      <x:c r="M22" s="17"/>
      <x:c r="N22" s="20"/>
    </x:row>
    <x:row r="23" ht="15" hidden="0" customHeight="1">
      <x:c r="A23" s="12" t="s">
        <x:v>55</x:v>
      </x:c>
      <x:c r="B23" s="21" t="n">
        <x:f aca="0">Parametri!B3</x:f>
        <x:v>158320</x:v>
      </x:c>
      <x:c r="C23" s="14"/>
      <x:c r="D23" s="21"/>
      <x:c r="E23" s="14"/>
      <x:c r="F23" s="15"/>
      <x:c r="G23" s="16"/>
      <x:c r="H23" s="17"/>
      <x:c r="I23" s="17"/>
      <x:c r="J23" s="22"/>
      <x:c r="K23" s="19"/>
      <x:c r="L23" s="17"/>
      <x:c r="M23" s="17"/>
      <x:c r="N23" s="20"/>
    </x:row>
    <x:row r="24" ht="15" hidden="0" customHeight="1">
      <x:c r="A24" s="23" t="s">
        <x:v>56</x:v>
      </x:c>
      <x:c r="B24" s="24" t="n">
        <x:f aca="0">SUM(B2:B21)</x:f>
        <x:v>156456</x:v>
      </x:c>
      <x:c r="C24" s="25" t="n">
        <x:f aca="0">SUM(C2:C21)</x:f>
        <x:v>0.9999999999999998</x:v>
      </x:c>
      <x:c r="D24" s="24" t="n">
        <x:f aca="0">SUM(D2:D21)</x:f>
        <x:v>58943464</x:v>
      </x:c>
      <x:c r="E24" s="25" t="n">
        <x:f aca="0">SUM(E2:E21)</x:f>
        <x:v>0.9999999999999999</x:v>
      </x:c>
      <x:c r="F24" s="26" t="n">
        <x:f aca="0">B24/D24*100000</x:f>
        <x:v>265.43400978266226</x:v>
      </x:c>
      <x:c r="G24" s="27"/>
      <x:c r="H24" s="28" t="n">
        <x:f aca="0">SUM(H2:H21)</x:f>
        <x:v>2.691512453350934</x:v>
      </x:c>
      <x:c r="I24" s="28" t="n">
        <x:f aca="0">SUM(I2:I21)</x:f>
        <x:v>0.01704292188722314</x:v>
      </x:c>
      <x:c r="J24" s="29" t="n">
        <x:f aca="0">SUM(J2:J21)</x:f>
        <x:v>38</x:v>
      </x:c>
      <x:c r="K24" s="30" t="n">
        <x:f aca="0">SUM(K2:K21)</x:f>
        <x:v>0.9999999999999999</x:v>
      </x:c>
      <x:c r="L24" s="28" t="n">
        <x:f aca="0">SUM(L2:L21)</x:f>
        <x:v>2.4178155675904156</x:v>
      </x:c>
      <x:c r="M24" s="28" t="n">
        <x:f aca="0">SUM(M2:M21)</x:f>
        <x:v>0.4228575504928045</x:v>
      </x:c>
      <x:c r="N24" s="31"/>
    </x:row>
  </x:sheetData>
  <x:conditionalFormatting sqref="G2:G21">
    <x:cfRule type="colorScale" priority="2">
      <x:colorScale>
        <x:cfvo type="num" val="0.6"/>
        <x:cfvo type="num" val="1"/>
        <x:cfvo type="num" val="1.5"/>
        <x:color rgb="FFF8696B"/>
        <x:color rgb="FFFFFFFF"/>
        <x:color rgb="FF63BE7B"/>
      </x:colorScale>
    </x:cfRule>
  </x:conditionalFormatting>
  <x:conditionalFormatting sqref="N2:N21">
    <x:cfRule type="colorScale" priority="3">
      <x:colorScale>
        <x:cfvo type="num" val="-8"/>
        <x:cfvo type="num" val="0"/>
        <x:cfvo type="num" val="8"/>
        <x:color rgb="FFF8696B"/>
        <x:color rgb="FFFFFFFF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0" style="1" hidden="0" customWidth="1"/>
    <x:col min="2" max="3" width="20" style="1" hidden="0" customWidth="1"/>
    <x:col min="4" max="4" width="48" style="1" hidden="0" customWidth="1"/>
  </x:cols>
  <x:sheetData>
    <x:row r="1" ht="15" hidden="0" customHeight="1">
      <x:c r="A1" s="3" t="s">
        <x:v>57</x:v>
      </x:c>
      <x:c r="B1" s="3" t="s">
        <x:v>21</x:v>
      </x:c>
      <x:c r="C1" s="3" t="s">
        <x:v>29</x:v>
      </x:c>
      <x:c r="D1" s="3" t="s">
        <x:v>58</x:v>
      </x:c>
    </x:row>
    <x:row r="2" ht="15" hidden="0" customHeight="1">
      <x:c r="A2" s="12" t="s">
        <x:v>59</x:v>
      </x:c>
      <x:c r="B2" s="32" t="n">
        <x:f aca="0">Iscritti!H24/LN(20)</x:f>
        <x:v>0.8984489292021596</x:v>
      </x:c>
      <x:c r="C2" s="32" t="n">
        <x:f aca="0">Iscritti!L24/LN(20)</x:f>
        <x:v>0.8070866642305246</x:v>
      </x:c>
      <x:c r="D2" s="12" t="s">
        <x:v>60</x:v>
      </x:c>
    </x:row>
    <x:row r="3" ht="15" hidden="0" customHeight="1">
      <x:c r="A3" s="12" t="s">
        <x:v>61</x:v>
      </x:c>
      <x:c r="B3" s="32" t="n">
        <x:f aca="0">SUMPRODUCT(Iscritti!C2:C21,Iscritti!C2:C21)</x:f>
        <x:v>0.08018985178541113</x:v>
      </x:c>
      <x:c r="C3" s="32" t="n">
        <x:f aca="0">SUMPRODUCT(Iscritti!K2:K21,Iscritti!K2:K21)</x:f>
        <x:v>0.10526315789473681</x:v>
      </x:c>
      <x:c r="D3" s="12" t="s">
        <x:v>62</x:v>
      </x:c>
    </x:row>
    <x:row r="4" ht="15" hidden="0" customHeight="1">
      <x:c r="A4" s="12" t="s">
        <x:v>63</x:v>
      </x:c>
      <x:c r="B4" s="32" t="n">
        <x:f aca="0">1/B3</x:f>
        <x:v>12.470405889712957</x:v>
      </x:c>
      <x:c r="C4" s="32" t="n">
        <x:f aca="0">1/C3</x:f>
        <x:v>9.500000000000004</x:v>
      </x:c>
      <x:c r="D4" s="12" t="s">
        <x:v>64</x:v>
      </x:c>
    </x:row>
    <x:row r="5" ht="15" hidden="0" customHeight="1">
      <x:c r="A5" s="12" t="s">
        <x:v>65</x:v>
      </x:c>
      <x:c r="B5" s="22" t="n">
        <x:f aca="0">COUNTIF(Iscritti!B2:B21,"&gt;0")</x:f>
        <x:v>20</x:v>
      </x:c>
      <x:c r="C5" s="22" t="n">
        <x:f aca="0">COUNTIF(Iscritti!J2:J21,"&gt;0")</x:f>
        <x:v>14</x:v>
      </x:c>
      <x:c r="D5" s="12"/>
    </x:row>
    <x:row r="6" ht="15" hidden="0" customHeight="1">
      <x:c r="A6" s="12" t="s">
        <x:v>66</x:v>
      </x:c>
      <x:c r="B6" s="32" t="n">
        <x:f aca="0">Iscritti!I24</x:f>
        <x:v>0.01704292188722314</x:v>
      </x:c>
      <x:c r="C6" s="32"/>
      <x:c r="D6" s="12" t="s">
        <x:v>67</x:v>
      </x:c>
    </x:row>
    <x:row r="7" ht="15" hidden="0" customHeight="1">
      <x:c r="A7" s="12" t="s">
        <x:v>68</x:v>
      </x:c>
      <x:c r="B7" s="32"/>
      <x:c r="C7" s="32" t="n">
        <x:f aca="0">Iscritti!M24</x:f>
        <x:v>0.4228575504928045</x:v>
      </x:c>
      <x:c r="D7" s="12" t="s">
        <x:v>69</x:v>
      </x:c>
    </x:row>
    <x:row r="8" ht="15" hidden="0" customHeight="1">
      <x:c r="A8" s="12" t="s">
        <x:v>70</x:v>
      </x:c>
      <x:c r="B8" s="12" t="str">
        <x:f aca="0">INDEX(Iscritti!A2:A21,MATCH(MAX(Iscritti!C2:C21),Iscritti!C2:C21,0))</x:f>
        <x:v>Lombardia</x:v>
      </x:c>
      <x:c r="C8" s="12" t="str">
        <x:f aca="0">INDEX(Iscritti!A2:A21,MATCH(MAX(Iscritti!K2:K21),Iscritti!K2:K21,0))</x:f>
        <x:v>Lombardia</x:v>
      </x:c>
      <x:c r="D8" s="12"/>
    </x:row>
    <x:row r="9" ht="15" hidden="0" customHeight="1">
      <x:c r="A9" s="12" t="s">
        <x:v>71</x:v>
      </x:c>
      <x:c r="B9" s="12" t="str">
        <x:f aca="0">INDEX(Iscritti!A2:A21,MATCH(MAX(Iscritti!G2:G21),Iscritti!G2:G21,0))</x:f>
        <x:v>Molise</x:v>
      </x:c>
      <x:c r="C9" s="12"/>
      <x:c r="D9" s="12"/>
    </x:row>
    <x:row r="10" ht="15" hidden="0" customHeight="1">
      <x:c r="A10" s="12" t="s">
        <x:v>72</x:v>
      </x:c>
      <x:c r="B10" s="12" t="str">
        <x:f aca="0">INDEX(Iscritti!A2:A21,MATCH(MIN(Iscritti!G2:G21),Iscritti!G2:G21,0))</x:f>
        <x:v>Trentino-Alto Adige</x:v>
      </x:c>
      <x:c r="C10" s="12"/>
      <x:c r="D1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style="1" hidden="0" customWidth="1"/>
    <x:col min="2" max="8" width="15" style="1" hidden="0" customWidth="1"/>
  </x:cols>
  <x:sheetData>
    <x:row r="1" ht="26.25" hidden="0" customHeight="1">
      <x:c r="A1" s="33" t="s">
        <x:v>73</x:v>
      </x:c>
      <x:c r="B1" s="33" t="s">
        <x:v>21</x:v>
      </x:c>
      <x:c r="C1" s="33" t="s">
        <x:v>22</x:v>
      </x:c>
      <x:c r="D1" s="33" t="s">
        <x:v>74</x:v>
      </x:c>
      <x:c r="E1" s="33" t="s">
        <x:v>24</x:v>
      </x:c>
      <x:c r="F1" s="33" t="s">
        <x:v>25</x:v>
      </x:c>
      <x:c r="G1" s="33" t="s">
        <x:v>75</x:v>
      </x:c>
      <x:c r="H1" s="33" t="s">
        <x:v>29</x:v>
      </x:c>
    </x:row>
    <x:row r="2" ht="15" hidden="0" customHeight="1">
      <x:c r="A2" s="12" t="s">
        <x:v>76</x:v>
      </x:c>
      <x:c r="B2" s="21" t="n">
        <x:f aca="0">Iscritti!B13+Iscritti!B20+Iscritti!B9+Iscritti!B10</x:f>
        <x:v>40370</x:v>
      </x:c>
      <x:c r="C2" s="19" t="n">
        <x:f aca="0">B2/Iscritti!$B$24</x:f>
        <x:v>0.25802781612721787</x:v>
      </x:c>
      <x:c r="D2" s="21" t="n">
        <x:f aca="0">Iscritti!D13+Iscritti!D20+Iscritti!D9+Iscritti!D10</x:f>
        <x:v>15918461</x:v>
      </x:c>
      <x:c r="E2" s="19" t="n">
        <x:f aca="0">D2/Iscritti!$D$24</x:f>
        <x:v>0.27006320836522263</x:v>
      </x:c>
      <x:c r="F2" s="15" t="n">
        <x:f aca="0">B2/D2*100000</x:f>
        <x:v>253.60491821414143</x:v>
      </x:c>
      <x:c r="G2" s="16" t="n">
        <x:f aca="0">C2/E2</x:f>
        <x:v>0.9554349061063935</x:v>
      </x:c>
      <x:c r="H2" s="12" t="n">
        <x:f aca="0">Iscritti!J13+Iscritti!J20+Iscritti!J9+Iscritti!J10</x:f>
        <x:v>14</x:v>
      </x:c>
    </x:row>
    <x:row r="3" ht="15" hidden="0" customHeight="1">
      <x:c r="A3" s="12" t="s">
        <x:v>77</x:v>
      </x:c>
      <x:c r="B3" s="21" t="n">
        <x:f aca="0">Iscritti!B18+Iscritti!B21+Iscritti!B7+Iscritti!B6</x:f>
        <x:v>30990</x:v>
      </x:c>
      <x:c r="C3" s="19" t="n">
        <x:f aca="0">B3/Iscritti!$B$24</x:f>
        <x:v>0.19807485810707165</x:v>
      </x:c>
      <x:c r="D3" s="21" t="n">
        <x:f aca="0">Iscritti!D18+Iscritti!D21+Iscritti!D7+Iscritti!D6</x:f>
        <x:v>11595006</x:v>
      </x:c>
      <x:c r="E3" s="19" t="n">
        <x:f aca="0">D3/Iscritti!$D$24</x:f>
        <x:v>0.19671402413675587</x:v>
      </x:c>
      <x:c r="F3" s="15" t="n">
        <x:f aca="0">B3/D3*100000</x:f>
        <x:v>267.2702368588684</x:v>
      </x:c>
      <x:c r="G3" s="16" t="n">
        <x:f aca="0">C3/E3</x:f>
        <x:v>1.0069178289462968</x:v>
      </x:c>
      <x:c r="H3" s="12" t="n">
        <x:f aca="0">Iscritti!J18+Iscritti!J21+Iscritti!J7+Iscritti!J6</x:f>
        <x:v>8</x:v>
      </x:c>
    </x:row>
    <x:row r="4" ht="15" hidden="0" customHeight="1">
      <x:c r="A4" s="12" t="s">
        <x:v>78</x:v>
      </x:c>
      <x:c r="B4" s="21" t="n">
        <x:f aca="0">Iscritti!B17+Iscritti!B19+Iscritti!B11+Iscritti!B8</x:f>
        <x:v>29811</x:v>
      </x:c>
      <x:c r="C4" s="19" t="n">
        <x:f aca="0">B4/Iscritti!$B$24</x:f>
        <x:v>0.19053919312778034</x:v>
      </x:c>
      <x:c r="D4" s="21" t="n">
        <x:f aca="0">Iscritti!D17+Iscritti!D19+Iscritti!D11+Iscritti!D8</x:f>
        <x:v>11698912</x:v>
      </x:c>
      <x:c r="E4" s="19" t="n">
        <x:f aca="0">D4/Iscritti!$D$24</x:f>
        <x:v>0.19847683196902036</x:v>
      </x:c>
      <x:c r="F4" s="15" t="n">
        <x:f aca="0">B4/D4*100000</x:f>
        <x:v>254.8185677437355</x:v>
      </x:c>
      <x:c r="G4" s="16" t="n">
        <x:f aca="0">C4/E4</x:f>
        <x:v>0.960007227229025</x:v>
      </x:c>
      <x:c r="H4" s="12" t="n">
        <x:f aca="0">Iscritti!J17+Iscritti!J19+Iscritti!J11+Iscritti!J8</x:f>
        <x:v>7</x:v>
      </x:c>
    </x:row>
    <x:row r="5" ht="15" hidden="0" customHeight="1">
      <x:c r="A5" s="12" t="s">
        <x:v>79</x:v>
      </x:c>
      <x:c r="B5" s="21" t="n">
        <x:f aca="0">Iscritti!B2+Iscritti!B12+Iscritti!B5+Iscritti!B14+Iscritti!B3+Iscritti!B4</x:f>
        <x:v>39206</x:v>
      </x:c>
      <x:c r="C5" s="19" t="n">
        <x:f aca="0">B5/Iscritti!$B$24</x:f>
        <x:v>0.250588024748172</x:v>
      </x:c>
      <x:c r="D5" s="21" t="n">
        <x:f aca="0">Iscritti!D2+Iscritti!D12+Iscritti!D5+Iscritti!D14+Iscritti!D3+Iscritti!D4</x:f>
        <x:v>13381314</x:v>
      </x:c>
      <x:c r="E5" s="19" t="n">
        <x:f aca="0">D5/Iscritti!$D$24</x:f>
        <x:v>0.22701947072537168</x:v>
      </x:c>
      <x:c r="F5" s="15" t="n">
        <x:f aca="0">B5/D5*100000</x:f>
        <x:v>292.9906584659773</x:v>
      </x:c>
      <x:c r="G5" s="16" t="n">
        <x:f aca="0">C5/E5</x:f>
        <x:v>1.103817324335636</x:v>
      </x:c>
      <x:c r="H5" s="12" t="n">
        <x:f aca="0">Iscritti!J2+Iscritti!J12+Iscritti!J5+Iscritti!J14+Iscritti!J3+Iscritti!J4</x:f>
        <x:v>8</x:v>
      </x:c>
    </x:row>
    <x:row r="6" ht="15" hidden="0" customHeight="1">
      <x:c r="A6" s="12" t="s">
        <x:v>80</x:v>
      </x:c>
      <x:c r="B6" s="21" t="n">
        <x:f aca="0">Iscritti!B16+Iscritti!B15</x:f>
        <x:v>16079</x:v>
      </x:c>
      <x:c r="C6" s="19" t="n">
        <x:f aca="0">B6/Iscritti!$B$24</x:f>
        <x:v>0.10277010788975814</x:v>
      </x:c>
      <x:c r="D6" s="21" t="n">
        <x:f aca="0">Iscritti!D16+Iscritti!D15</x:f>
        <x:v>6349771</x:v>
      </x:c>
      <x:c r="E6" s="19" t="n">
        <x:f aca="0">D6/Iscritti!$D$24</x:f>
        <x:v>0.10772646480362946</x:v>
      </x:c>
      <x:c r="F6" s="15" t="n">
        <x:f aca="0">B6/D6*100000</x:f>
        <x:v>253.2217303584649</x:v>
      </x:c>
      <x:c r="G6" s="16" t="n">
        <x:f aca="0">C6/E6</x:f>
        <x:v>0.9539912785321037</x:v>
      </x:c>
      <x:c r="H6" s="12" t="n">
        <x:f aca="0">Iscritti!J16+Iscritti!J15</x:f>
        <x:v>1</x:v>
      </x:c>
    </x:row>
    <x:row r="7" ht="15" hidden="0" customHeight="1">
      <x:c r="A7" s="23" t="s">
        <x:v>81</x:v>
      </x:c>
      <x:c r="B7" s="24" t="n">
        <x:f aca="0">SUM(B2:B6)</x:f>
        <x:v>156456</x:v>
      </x:c>
      <x:c r="C7" s="30" t="n">
        <x:f aca="0">SUM(C2:C6)</x:f>
        <x:v>1</x:v>
      </x:c>
      <x:c r="D7" s="24" t="n">
        <x:f aca="0">SUM(D2:D6)</x:f>
        <x:v>58943464</x:v>
      </x:c>
      <x:c r="E7" s="30" t="n">
        <x:f aca="0">SUM(E2:E6)</x:f>
        <x:v>1</x:v>
      </x:c>
      <x:c r="F7" s="26" t="n">
        <x:f aca="0">B7/D7*100000</x:f>
        <x:v>265.43400978266226</x:v>
      </x:c>
      <x:c r="G7" s="27"/>
      <x:c r="H7" s="23" t="n">
        <x:f aca="0">SUM(H2:H6)</x:f>
        <x:v>38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ColWidth="8.6796875" defaultRowHeight="15"/>
  <x:cols>
    <x:col min="1" max="1" width="22" hidden="0" customWidth="1"/>
    <x:col min="2" max="14" width="11" hidden="0" customWidth="1"/>
  </x:cols>
  <x:sheetData>
    <x:row r="1" ht="15" hidden="0">
      <x:c r="A1" s="34" t="str">
        <x:v>SERIE MENSILE ISCRITTI v3.2 - 20 regioni obbligatorie, nessun dato mancante deve essere considerato zero</x:v>
      </x:c>
    </x:row>
    <x:row r="3" ht="15" hidden="0">
      <x:c r="A3" s="35" t="s">
        <x:v>20</x:v>
      </x:c>
      <x:c r="B3" s="35" t="s">
        <x:v>82</x:v>
      </x:c>
      <x:c r="C3" s="35" t="s">
        <x:v>83</x:v>
      </x:c>
      <x:c r="D3" s="35" t="s">
        <x:v>84</x:v>
      </x:c>
      <x:c r="E3" s="35" t="s">
        <x:v>85</x:v>
      </x:c>
      <x:c r="F3" s="35" t="s">
        <x:v>86</x:v>
      </x:c>
      <x:c r="G3" s="35" t="s">
        <x:v>87</x:v>
      </x:c>
      <x:c r="H3" s="35" t="s">
        <x:v>88</x:v>
      </x:c>
      <x:c r="I3" s="35" t="s">
        <x:v>89</x:v>
      </x:c>
      <x:c r="J3" s="35" t="s">
        <x:v>90</x:v>
      </x:c>
      <x:c r="K3" s="35" t="s">
        <x:v>91</x:v>
      </x:c>
      <x:c r="L3" s="35" t="s">
        <x:v>92</x:v>
      </x:c>
      <x:c r="M3" s="35" t="s">
        <x:v>93</x:v>
      </x:c>
      <x:c r="N3" s="35" t="s">
        <x:v>94</x:v>
      </x:c>
    </x:row>
    <x:row r="4" ht="15" hidden="0">
      <x:c r="A4" s="36" t="s">
        <x:v>45</x:v>
      </x:c>
      <x:c r="B4" s="37" t="n">
        <x:v>11507</x:v>
      </x:c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</x:row>
    <x:row r="5" ht="15" hidden="0">
      <x:c r="A5" s="36" t="s">
        <x:v>52</x:v>
      </x:c>
      <x:c r="B5" s="37" t="n">
        <x:v>215</x:v>
      </x:c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</x:row>
    <x:row r="6" ht="15" hidden="0">
      <x:c r="A6" s="36" t="s">
        <x:v>41</x:v>
      </x:c>
      <x:c r="B6" s="37" t="n">
        <x:v>4955</x:v>
      </x:c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</x:row>
    <x:row r="7" ht="15" hidden="0">
      <x:c r="A7" s="36" t="s">
        <x:v>42</x:v>
      </x:c>
      <x:c r="B7" s="37" t="n">
        <x:v>23693</x:v>
      </x:c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</x:row>
    <x:row r="8" ht="15" hidden="0">
      <x:c r="A8" s="36" t="s">
        <x:v>50</x:v>
      </x:c>
      <x:c r="B8" s="37" t="n">
        <x:v>1877</x:v>
      </x:c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</x:row>
    <x:row r="9" ht="15" hidden="0">
      <x:c r="A9" s="36" t="s">
        <x:v>53</x:v>
      </x:c>
      <x:c r="B9" s="37" t="n">
        <x:v>15946</x:v>
      </x:c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</x:row>
    <x:row r="10" ht="15" hidden="0">
      <x:c r="A10" s="36" t="s">
        <x:v>39</x:v>
      </x:c>
      <x:c r="B10" s="37" t="n">
        <x:v>3762</x:v>
      </x:c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</x:row>
    <x:row r="11" ht="15" hidden="0">
      <x:c r="A11" s="36" t="s">
        <x:v>38</x:v>
      </x:c>
      <x:c r="B11" s="37" t="n">
        <x:v>9405</x:v>
      </x:c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</x:row>
    <x:row r="12" ht="15" hidden="0">
      <x:c r="A12" s="36" t="s">
        <x:v>49</x:v>
      </x:c>
      <x:c r="B12" s="37" t="n">
        <x:v>7552</x:v>
      </x:c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</x:row>
    <x:row r="13" ht="15" hidden="0">
      <x:c r="A13" s="36" t="s">
        <x:v>51</x:v>
      </x:c>
      <x:c r="B13" s="37" t="n">
        <x:v>2109</x:v>
      </x:c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</x:row>
    <x:row r="14" ht="15" hidden="0">
      <x:c r="A14" s="36" t="s">
        <x:v>43</x:v>
      </x:c>
      <x:c r="B14" s="37" t="n">
        <x:v>4261</x:v>
      </x:c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</x:row>
    <x:row r="15" ht="15" hidden="0">
      <x:c r="A15" s="36" t="s">
        <x:v>40</x:v>
      </x:c>
      <x:c r="B15" s="37" t="n">
        <x:v>15889</x:v>
      </x:c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</x:row>
    <x:row r="16" ht="15" hidden="0">
      <x:c r="A16" s="36" t="s">
        <x:v>34</x:v>
      </x:c>
      <x:c r="B16" s="37" t="n">
        <x:v>4325</x:v>
      </x:c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</x:row>
    <x:row r="17" ht="15" hidden="0">
      <x:c r="A17" s="36" t="s">
        <x:v>44</x:v>
      </x:c>
      <x:c r="B17" s="37" t="n">
        <x:v>1132</x:v>
      </x:c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</x:row>
    <x:row r="18" ht="15" hidden="0">
      <x:c r="A18" s="36" t="s">
        <x:v>37</x:v>
      </x:c>
      <x:c r="B18" s="37" t="n">
        <x:v>12731</x:v>
      </x:c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</x:row>
    <x:row r="19" ht="15" hidden="0">
      <x:c r="A19" s="36" t="s">
        <x:v>46</x:v>
      </x:c>
      <x:c r="B19" s="37" t="n">
        <x:v>13552</x:v>
      </x:c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</x:row>
    <x:row r="20" ht="15" hidden="0">
      <x:c r="A20" s="36" t="s">
        <x:v>35</x:v>
      </x:c>
      <x:c r="B20" s="37" t="n">
        <x:v>1297</x:v>
      </x:c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</x:row>
    <x:row r="21" ht="15" hidden="0">
      <x:c r="A21" s="36" t="s">
        <x:v>36</x:v>
      </x:c>
      <x:c r="B21" s="37" t="n">
        <x:v>6169</x:v>
      </x:c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</x:row>
    <x:row r="22" ht="15" hidden="0">
      <x:c r="A22" s="36" t="s">
        <x:v>48</x:v>
      </x:c>
      <x:c r="B22" s="37" t="n">
        <x:v>10983</x:v>
      </x:c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</x:row>
    <x:row r="23" ht="15" hidden="0">
      <x:c r="A23" s="36" t="s">
        <x:v>47</x:v>
      </x:c>
      <x:c r="B23" s="37" t="n">
        <x:v>5096</x:v>
      </x:c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</x:row>
    <x:row r="24" ht="15" hidden="0">
      <x:c r="A24" s="39" t="s">
        <x:v>81</x:v>
      </x:c>
      <x:c r="B24" s="40" t="n">
        <x:f aca="0">IF(COUNT(B4:B23)=20,SUM(B4:B23),"")</x:f>
        <x:v>156456</x:v>
      </x:c>
      <x:c r="C24" s="40" t="str">
        <x:f aca="0">IF(COUNT(C4:C23)=20,SUM(C4:C23),"")</x:f>
      </x:c>
      <x:c r="D24" s="40" t="str">
        <x:f aca="0">IF(COUNT(D4:D23)=20,SUM(D4:D23),"")</x:f>
      </x:c>
      <x:c r="E24" s="40" t="str">
        <x:f aca="0">IF(COUNT(E4:E23)=20,SUM(E4:E23),"")</x:f>
      </x:c>
      <x:c r="F24" s="40" t="str">
        <x:f aca="0">IF(COUNT(F4:F23)=20,SUM(F4:F23),"")</x:f>
      </x:c>
      <x:c r="G24" s="40" t="str">
        <x:f aca="0">IF(COUNT(G4:G23)=20,SUM(G4:G23),"")</x:f>
      </x:c>
      <x:c r="H24" s="40" t="str">
        <x:f aca="0">IF(COUNT(H4:H23)=20,SUM(H4:H23),"")</x:f>
      </x:c>
      <x:c r="I24" s="40" t="str">
        <x:f aca="0">IF(COUNT(I4:I23)=20,SUM(I4:I23),"")</x:f>
      </x:c>
      <x:c r="J24" s="40" t="str">
        <x:f aca="0">IF(COUNT(J4:J23)=20,SUM(J4:J23),"")</x:f>
      </x:c>
      <x:c r="K24" s="40" t="str">
        <x:f aca="0">IF(COUNT(K4:K23)=20,SUM(K4:K23),"")</x:f>
      </x:c>
      <x:c r="L24" s="40" t="str">
        <x:f aca="0">IF(COUNT(L4:L23)=20,SUM(L4:L23),"")</x:f>
      </x:c>
      <x:c r="M24" s="40" t="str">
        <x:f aca="0">IF(COUNT(M4:M23)=20,SUM(M4:M23),"")</x:f>
      </x:c>
      <x:c r="N24" s="40" t="str">
        <x:f aca="0">IF(COUNT(N4:N23)=20,SUM(N4:N23),"")</x:f>
      </x:c>
    </x:row>
    <x:row r="25" ht="15" hidden="0">
      <x:c r="A25" s="39" t="s">
        <x:v>95</x:v>
      </x:c>
      <x:c r="B25" s="41" t="n">
        <x:f aca="0">IF(B24="","",SUM(H_CALCOLO_MENSILE!B4:B23)/LN(20))</x:f>
        <x:v>0.8984489292021597</x:v>
      </x:c>
      <x:c r="C25" s="41" t="str">
        <x:f aca="0">IF(C24="","",SUM(H_CALCOLO_MENSILE!C4:C23)/LN(20))</x:f>
      </x:c>
      <x:c r="D25" s="41" t="str">
        <x:f aca="0">IF(D24="","",SUM(H_CALCOLO_MENSILE!D4:D23)/LN(20))</x:f>
      </x:c>
      <x:c r="E25" s="41" t="str">
        <x:f aca="0">IF(E24="","",SUM(H_CALCOLO_MENSILE!E4:E23)/LN(20))</x:f>
      </x:c>
      <x:c r="F25" s="41" t="str">
        <x:f aca="0">IF(F24="","",SUM(H_CALCOLO_MENSILE!F4:F23)/LN(20))</x:f>
      </x:c>
      <x:c r="G25" s="41" t="str">
        <x:f aca="0">IF(G24="","",SUM(H_CALCOLO_MENSILE!G4:G23)/LN(20))</x:f>
      </x:c>
      <x:c r="H25" s="41" t="str">
        <x:f aca="0">IF(H24="","",SUM(H_CALCOLO_MENSILE!H4:H23)/LN(20))</x:f>
      </x:c>
      <x:c r="I25" s="41" t="str">
        <x:f aca="0">IF(I24="","",SUM(H_CALCOLO_MENSILE!I4:I23)/LN(20))</x:f>
      </x:c>
      <x:c r="J25" s="41" t="str">
        <x:f aca="0">IF(J24="","",SUM(H_CALCOLO_MENSILE!J4:J23)/LN(20))</x:f>
      </x:c>
      <x:c r="K25" s="41" t="str">
        <x:f aca="0">IF(K24="","",SUM(H_CALCOLO_MENSILE!K4:K23)/LN(20))</x:f>
      </x:c>
      <x:c r="L25" s="41" t="str">
        <x:f aca="0">IF(L24="","",SUM(H_CALCOLO_MENSILE!L4:L23)/LN(20))</x:f>
      </x:c>
      <x:c r="M25" s="41" t="str">
        <x:f aca="0">IF(M24="","",SUM(H_CALCOLO_MENSILE!M4:M23)/LN(20))</x:f>
      </x:c>
      <x:c r="N25" s="41" t="str">
        <x:f aca="0">IF(N24="","",SUM(H_CALCOLO_MENSILE!N4:N23)/LN(20))</x:f>
      </x:c>
    </x:row>
    <x:row r="26" ht="15" hidden="0">
      <x:c r="A26" s="39" t="s">
        <x:v>96</x:v>
      </x:c>
      <x:c r="C26" s="42" t="str">
        <x:f aca="0">IF(OR(C25="",B25=""),"",C25-B25)</x:f>
      </x:c>
      <x:c r="D26" s="42" t="str">
        <x:f aca="0">IF(OR(D25="",C25=""),"",D25-C25)</x:f>
      </x:c>
      <x:c r="E26" s="42" t="str">
        <x:f aca="0">IF(OR(E25="",D25=""),"",E25-D25)</x:f>
      </x:c>
      <x:c r="F26" s="42" t="str">
        <x:f aca="0">IF(OR(F25="",E25=""),"",F25-E25)</x:f>
      </x:c>
      <x:c r="G26" s="42" t="str">
        <x:f aca="0">IF(OR(G25="",F25=""),"",G25-F25)</x:f>
      </x:c>
      <x:c r="H26" s="42" t="str">
        <x:f aca="0">IF(OR(H25="",G25=""),"",H25-G25)</x:f>
      </x:c>
      <x:c r="I26" s="42" t="str">
        <x:f aca="0">IF(OR(I25="",H25=""),"",I25-H25)</x:f>
      </x:c>
      <x:c r="J26" s="42" t="str">
        <x:f aca="0">IF(OR(J25="",I25=""),"",J25-I25)</x:f>
      </x:c>
      <x:c r="K26" s="42" t="str">
        <x:f aca="0">IF(OR(K25="",J25=""),"",K25-J25)</x:f>
      </x:c>
      <x:c r="L26" s="42" t="str">
        <x:f aca="0">IF(OR(L25="",K25=""),"",L25-K25)</x:f>
      </x:c>
      <x:c r="M26" s="42" t="str">
        <x:f aca="0">IF(OR(M25="",L25=""),"",M25-L25)</x:f>
      </x:c>
      <x:c r="N26" s="42" t="str">
        <x:f aca="0">IF(OR(N25="",M25=""),"",N25-M25)</x:f>
      </x:c>
    </x:row>
    <x:row r="27" ht="15" hidden="0">
      <x:c r="A27" s="39" t="s">
        <x:v>97</x:v>
      </x:c>
      <x:c r="B27" t="str">
        <x:f aca="0">IF(B24="","IN ATTESA","COMPLETO")</x:f>
        <x:v>COMPLETO</x:v>
      </x:c>
      <x:c r="C27" t="str">
        <x:f aca="0">IF(C24="","IN ATTESA","COMPLETO")</x:f>
        <x:v>IN ATTESA</x:v>
      </x:c>
      <x:c r="D27" t="str">
        <x:f aca="0">IF(D24="","IN ATTESA","COMPLETO")</x:f>
        <x:v>IN ATTESA</x:v>
      </x:c>
      <x:c r="E27" t="str">
        <x:f aca="0">IF(E24="","IN ATTESA","COMPLETO")</x:f>
        <x:v>IN ATTESA</x:v>
      </x:c>
      <x:c r="F27" t="str">
        <x:f aca="0">IF(F24="","IN ATTESA","COMPLETO")</x:f>
        <x:v>IN ATTESA</x:v>
      </x:c>
      <x:c r="G27" t="str">
        <x:f aca="0">IF(G24="","IN ATTESA","COMPLETO")</x:f>
        <x:v>IN ATTESA</x:v>
      </x:c>
      <x:c r="H27" t="str">
        <x:f aca="0">IF(H24="","IN ATTESA","COMPLETO")</x:f>
        <x:v>IN ATTESA</x:v>
      </x:c>
      <x:c r="I27" t="str">
        <x:f aca="0">IF(I24="","IN ATTESA","COMPLETO")</x:f>
        <x:v>IN ATTESA</x:v>
      </x:c>
      <x:c r="J27" t="str">
        <x:f aca="0">IF(J24="","IN ATTESA","COMPLETO")</x:f>
        <x:v>IN ATTESA</x:v>
      </x:c>
      <x:c r="K27" t="str">
        <x:f aca="0">IF(K24="","IN ATTESA","COMPLETO")</x:f>
        <x:v>IN ATTESA</x:v>
      </x:c>
      <x:c r="L27" t="str">
        <x:f aca="0">IF(L24="","IN ATTESA","COMPLETO")</x:f>
        <x:v>IN ATTESA</x:v>
      </x:c>
      <x:c r="M27" t="str">
        <x:f aca="0">IF(M24="","IN ATTESA","COMPLETO")</x:f>
        <x:v>IN ATTESA</x:v>
      </x:c>
      <x:c r="N27" t="str">
        <x:f aca="0">IF(N24="","IN ATTESA","COMPLETO")</x:f>
        <x:v>IN ATTESA</x:v>
      </x:c>
    </x:row>
    <x:row r="29" ht="15" hidden="0">
      <x:c r="A29" s="43" t="s">
        <x:v>98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hidden="0" customWidth="1"/>
    <x:col min="2" max="2" width="90" hidden="0" customWidth="1"/>
  </x:cols>
  <x:sheetData>
    <x:row r="1" ht="15" hidden="0">
      <x:c r="A1" s="39" t="str">
        <x:v>ANALISI ISCRITTI - DATI ORGANIZZATIVI v3.2</x:v>
      </x:c>
      <x:c r="B1" s="36"/>
    </x:row>
    <x:row r="2" ht="15" hidden="0">
      <x:c r="A2" s="39" t="s">
        <x:v>1</x:v>
      </x:c>
      <x:c r="B2" s="39" t="s">
        <x:v>99</x:v>
      </x:c>
    </x:row>
    <x:row r="3" ht="15" hidden="0">
      <x:c r="A3" s="36" t="s">
        <x:v>100</x:v>
      </x:c>
      <x:c r="B3" s="36" t="s">
        <x:v>101</x:v>
      </x:c>
    </x:row>
    <x:row r="4" ht="15" hidden="0">
      <x:c r="A4" s="36" t="s">
        <x:v>102</x:v>
      </x:c>
      <x:c r="B4" s="36" t="s">
        <x:v>103</x:v>
      </x:c>
    </x:row>
    <x:row r="5" ht="15" hidden="0">
      <x:c r="A5" s="36" t="s">
        <x:v>104</x:v>
      </x:c>
      <x:c r="B5" s="36" t="s">
        <x:v>105</x:v>
      </x:c>
    </x:row>
    <x:row r="6" ht="15" hidden="0">
      <x:c r="A6" s="36" t="s">
        <x:v>106</x:v>
      </x:c>
      <x:c r="B6" s="36" t="s">
        <x:v>107</x:v>
      </x:c>
    </x:row>
    <x:row r="7" ht="15" hidden="0">
      <x:c r="A7" s="36" t="s">
        <x:v>108</x:v>
      </x:c>
      <x:c r="B7" s="36" t="s">
        <x:v>109</x:v>
      </x:c>
    </x:row>
    <x:row r="8" ht="15" hidden="0">
      <x:c r="A8" s="36" t="s">
        <x:v>110</x:v>
      </x:c>
      <x:c r="B8" s="36" t="s">
        <x:v>111</x:v>
      </x:c>
    </x:row>
    <x:row r="9" ht="15" hidden="0">
      <x:c r="A9" s="36" t="s">
        <x:v>112</x:v>
      </x:c>
      <x:c r="B9" s="36" t="s">
        <x:v>113</x:v>
      </x:c>
    </x:row>
    <x:row r="10">
      <x:c r="A10" t="str">
        <x:v>JS / scenario</x:v>
      </x:c>
      <x:c r="B10" t="str">
        <x:v>Calcolare JS mensile e H scenario nel file 4_Modello_FN_Scenario_Territoriale_v3.2.xlsx, foglio STORICO; dati non equivalgono a intenzioni di voto.</x:v>
      </x:c>
    </x:row>
    <x:row r="11" ht="15" hidden="0">
      <x:c r="A11" s="44" t="s">
        <x:v>114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87" t="str">
        <x:v>CONTRIBUTI ALL'ENTROPIA / SOLO MESI COMPLETI</x:v>
      </x:c>
      <x:c r="B1" s="87" t="str"/>
      <x:c r="C1" s="87" t="str"/>
      <x:c r="D1" s="87" t="str"/>
      <x:c r="E1" s="87" t="str"/>
      <x:c r="F1" s="87" t="str"/>
      <x:c r="G1" s="87" t="str"/>
      <x:c r="H1" s="87" t="str"/>
      <x:c r="I1" s="87" t="str"/>
      <x:c r="J1" s="87" t="str"/>
      <x:c r="K1" s="87" t="str"/>
      <x:c r="L1" s="87" t="str"/>
      <x:c r="M1" s="87" t="str"/>
      <x:c r="N1" s="87" t="str"/>
    </x:row>
    <x:row r="3">
      <x:c r="A3" s="89" t="str">
        <x:v>Regione</x:v>
      </x:c>
      <x:c r="B3" s="89" t="str">
        <x:v>10/2026</x:v>
      </x:c>
      <x:c r="C3" s="89" t="str">
        <x:v>11/2026</x:v>
      </x:c>
      <x:c r="D3" s="89" t="str">
        <x:v>12/2026</x:v>
      </x:c>
      <x:c r="E3" s="89" t="str">
        <x:v>01/2027</x:v>
      </x:c>
      <x:c r="F3" s="89" t="str">
        <x:v>02/2027</x:v>
      </x:c>
      <x:c r="G3" s="89" t="str">
        <x:v>03/2027</x:v>
      </x:c>
      <x:c r="H3" s="89" t="str">
        <x:v>04/2027</x:v>
      </x:c>
      <x:c r="I3" s="89" t="str">
        <x:v>05/2027</x:v>
      </x:c>
      <x:c r="J3" s="89" t="str">
        <x:v>06/2027</x:v>
      </x:c>
      <x:c r="K3" s="89" t="str">
        <x:v>07/2027</x:v>
      </x:c>
      <x:c r="L3" s="89" t="str">
        <x:v>08/2027</x:v>
      </x:c>
      <x:c r="M3" s="89" t="str">
        <x:v>09/2027</x:v>
      </x:c>
      <x:c r="N3" s="89" t="str">
        <x:v>10/2027</x:v>
      </x:c>
    </x:row>
    <x:row r="4">
      <x:c r="A4" t="str">
        <x:v>Piemonte</x:v>
      </x:c>
      <x:c r="B4" t="n">
        <x:f>IF(OR('Serie mensile'!B4="",'Serie mensile'!B24=""),"",IF('Serie mensile'!B4&gt;0,-('Serie mensile'!B4/'Serie mensile'!B24)*LN('Serie mensile'!B4/'Serie mensile'!B24),0))</x:f>
        <x:v>0.19194655616329798</x:v>
      </x:c>
      <x:c r="C4" t="str">
        <x:f>IF(OR('Serie mensile'!C4="",'Serie mensile'!C24=""),"",IF('Serie mensile'!C4&gt;0,-('Serie mensile'!C4/'Serie mensile'!C24)*LN('Serie mensile'!C4/'Serie mensile'!C24),0))</x:f>
      </x:c>
      <x:c r="D4" t="str">
        <x:f>IF(OR('Serie mensile'!D4="",'Serie mensile'!D24=""),"",IF('Serie mensile'!D4&gt;0,-('Serie mensile'!D4/'Serie mensile'!D24)*LN('Serie mensile'!D4/'Serie mensile'!D24),0))</x:f>
      </x:c>
      <x:c r="E4" t="str">
        <x:f>IF(OR('Serie mensile'!E4="",'Serie mensile'!E24=""),"",IF('Serie mensile'!E4&gt;0,-('Serie mensile'!E4/'Serie mensile'!E24)*LN('Serie mensile'!E4/'Serie mensile'!E24),0))</x:f>
      </x:c>
      <x:c r="F4" t="str">
        <x:f>IF(OR('Serie mensile'!F4="",'Serie mensile'!F24=""),"",IF('Serie mensile'!F4&gt;0,-('Serie mensile'!F4/'Serie mensile'!F24)*LN('Serie mensile'!F4/'Serie mensile'!F24),0))</x:f>
      </x:c>
      <x:c r="G4" t="str">
        <x:f>IF(OR('Serie mensile'!G4="",'Serie mensile'!G24=""),"",IF('Serie mensile'!G4&gt;0,-('Serie mensile'!G4/'Serie mensile'!G24)*LN('Serie mensile'!G4/'Serie mensile'!G24),0))</x:f>
      </x:c>
      <x:c r="H4" t="str">
        <x:f>IF(OR('Serie mensile'!H4="",'Serie mensile'!H24=""),"",IF('Serie mensile'!H4&gt;0,-('Serie mensile'!H4/'Serie mensile'!H24)*LN('Serie mensile'!H4/'Serie mensile'!H24),0))</x:f>
      </x:c>
      <x:c r="I4" t="str">
        <x:f>IF(OR('Serie mensile'!I4="",'Serie mensile'!I24=""),"",IF('Serie mensile'!I4&gt;0,-('Serie mensile'!I4/'Serie mensile'!I24)*LN('Serie mensile'!I4/'Serie mensile'!I24),0))</x:f>
      </x:c>
      <x:c r="J4" t="str">
        <x:f>IF(OR('Serie mensile'!J4="",'Serie mensile'!J24=""),"",IF('Serie mensile'!J4&gt;0,-('Serie mensile'!J4/'Serie mensile'!J24)*LN('Serie mensile'!J4/'Serie mensile'!J24),0))</x:f>
      </x:c>
      <x:c r="K4" t="str">
        <x:f>IF(OR('Serie mensile'!K4="",'Serie mensile'!K24=""),"",IF('Serie mensile'!K4&gt;0,-('Serie mensile'!K4/'Serie mensile'!K24)*LN('Serie mensile'!K4/'Serie mensile'!K24),0))</x:f>
      </x:c>
      <x:c r="L4" t="str">
        <x:f>IF(OR('Serie mensile'!L4="",'Serie mensile'!L24=""),"",IF('Serie mensile'!L4&gt;0,-('Serie mensile'!L4/'Serie mensile'!L24)*LN('Serie mensile'!L4/'Serie mensile'!L24),0))</x:f>
      </x:c>
      <x:c r="M4" t="str">
        <x:f>IF(OR('Serie mensile'!M4="",'Serie mensile'!M24=""),"",IF('Serie mensile'!M4&gt;0,-('Serie mensile'!M4/'Serie mensile'!M24)*LN('Serie mensile'!M4/'Serie mensile'!M24),0))</x:f>
      </x:c>
      <x:c r="N4" t="str">
        <x:f>IF(OR('Serie mensile'!N4="",'Serie mensile'!N24=""),"",IF('Serie mensile'!N4&gt;0,-('Serie mensile'!N4/'Serie mensile'!N24)*LN('Serie mensile'!N4/'Serie mensile'!N24),0))</x:f>
      </x:c>
    </x:row>
    <x:row r="5">
      <x:c r="A5" t="str">
        <x:v>Valle d'Aosta</x:v>
      </x:c>
      <x:c r="B5" t="n">
        <x:f>IF(OR('Serie mensile'!B5="",'Serie mensile'!B24=""),"",IF('Serie mensile'!B5&gt;0,-('Serie mensile'!B5/'Serie mensile'!B24)*LN('Serie mensile'!B5/'Serie mensile'!B24),0))</x:f>
        <x:v>0.009055752385949639</x:v>
      </x:c>
      <x:c r="C5" t="str">
        <x:f>IF(OR('Serie mensile'!C5="",'Serie mensile'!C24=""),"",IF('Serie mensile'!C5&gt;0,-('Serie mensile'!C5/'Serie mensile'!C24)*LN('Serie mensile'!C5/'Serie mensile'!C24),0))</x:f>
      </x:c>
      <x:c r="D5" t="str">
        <x:f>IF(OR('Serie mensile'!D5="",'Serie mensile'!D24=""),"",IF('Serie mensile'!D5&gt;0,-('Serie mensile'!D5/'Serie mensile'!D24)*LN('Serie mensile'!D5/'Serie mensile'!D24),0))</x:f>
      </x:c>
      <x:c r="E5" t="str">
        <x:f>IF(OR('Serie mensile'!E5="",'Serie mensile'!E24=""),"",IF('Serie mensile'!E5&gt;0,-('Serie mensile'!E5/'Serie mensile'!E24)*LN('Serie mensile'!E5/'Serie mensile'!E24),0))</x:f>
      </x:c>
      <x:c r="F5" t="str">
        <x:f>IF(OR('Serie mensile'!F5="",'Serie mensile'!F24=""),"",IF('Serie mensile'!F5&gt;0,-('Serie mensile'!F5/'Serie mensile'!F24)*LN('Serie mensile'!F5/'Serie mensile'!F24),0))</x:f>
      </x:c>
      <x:c r="G5" t="str">
        <x:f>IF(OR('Serie mensile'!G5="",'Serie mensile'!G24=""),"",IF('Serie mensile'!G5&gt;0,-('Serie mensile'!G5/'Serie mensile'!G24)*LN('Serie mensile'!G5/'Serie mensile'!G24),0))</x:f>
      </x:c>
      <x:c r="H5" t="str">
        <x:f>IF(OR('Serie mensile'!H5="",'Serie mensile'!H24=""),"",IF('Serie mensile'!H5&gt;0,-('Serie mensile'!H5/'Serie mensile'!H24)*LN('Serie mensile'!H5/'Serie mensile'!H24),0))</x:f>
      </x:c>
      <x:c r="I5" t="str">
        <x:f>IF(OR('Serie mensile'!I5="",'Serie mensile'!I24=""),"",IF('Serie mensile'!I5&gt;0,-('Serie mensile'!I5/'Serie mensile'!I24)*LN('Serie mensile'!I5/'Serie mensile'!I24),0))</x:f>
      </x:c>
      <x:c r="J5" t="str">
        <x:f>IF(OR('Serie mensile'!J5="",'Serie mensile'!J24=""),"",IF('Serie mensile'!J5&gt;0,-('Serie mensile'!J5/'Serie mensile'!J24)*LN('Serie mensile'!J5/'Serie mensile'!J24),0))</x:f>
      </x:c>
      <x:c r="K5" t="str">
        <x:f>IF(OR('Serie mensile'!K5="",'Serie mensile'!K24=""),"",IF('Serie mensile'!K5&gt;0,-('Serie mensile'!K5/'Serie mensile'!K24)*LN('Serie mensile'!K5/'Serie mensile'!K24),0))</x:f>
      </x:c>
      <x:c r="L5" t="str">
        <x:f>IF(OR('Serie mensile'!L5="",'Serie mensile'!L24=""),"",IF('Serie mensile'!L5&gt;0,-('Serie mensile'!L5/'Serie mensile'!L24)*LN('Serie mensile'!L5/'Serie mensile'!L24),0))</x:f>
      </x:c>
      <x:c r="M5" t="str">
        <x:f>IF(OR('Serie mensile'!M5="",'Serie mensile'!M24=""),"",IF('Serie mensile'!M5&gt;0,-('Serie mensile'!M5/'Serie mensile'!M24)*LN('Serie mensile'!M5/'Serie mensile'!M24),0))</x:f>
      </x:c>
      <x:c r="N5" t="str">
        <x:f>IF(OR('Serie mensile'!N5="",'Serie mensile'!N24=""),"",IF('Serie mensile'!N5&gt;0,-('Serie mensile'!N5/'Serie mensile'!N24)*LN('Serie mensile'!N5/'Serie mensile'!N24),0))</x:f>
      </x:c>
    </x:row>
    <x:row r="6">
      <x:c r="A6" t="str">
        <x:v>Liguria</x:v>
      </x:c>
      <x:c r="B6" t="n">
        <x:f>IF(OR('Serie mensile'!B6="",'Serie mensile'!B24=""),"",IF('Serie mensile'!B6&gt;0,-('Serie mensile'!B6/'Serie mensile'!B24)*LN('Serie mensile'!B6/'Serie mensile'!B24),0))</x:f>
        <x:v>0.10933764935943079</x:v>
      </x:c>
      <x:c r="C6" t="str">
        <x:f>IF(OR('Serie mensile'!C6="",'Serie mensile'!C24=""),"",IF('Serie mensile'!C6&gt;0,-('Serie mensile'!C6/'Serie mensile'!C24)*LN('Serie mensile'!C6/'Serie mensile'!C24),0))</x:f>
      </x:c>
      <x:c r="D6" t="str">
        <x:f>IF(OR('Serie mensile'!D6="",'Serie mensile'!D24=""),"",IF('Serie mensile'!D6&gt;0,-('Serie mensile'!D6/'Serie mensile'!D24)*LN('Serie mensile'!D6/'Serie mensile'!D24),0))</x:f>
      </x:c>
      <x:c r="E6" t="str">
        <x:f>IF(OR('Serie mensile'!E6="",'Serie mensile'!E24=""),"",IF('Serie mensile'!E6&gt;0,-('Serie mensile'!E6/'Serie mensile'!E24)*LN('Serie mensile'!E6/'Serie mensile'!E24),0))</x:f>
      </x:c>
      <x:c r="F6" t="str">
        <x:f>IF(OR('Serie mensile'!F6="",'Serie mensile'!F24=""),"",IF('Serie mensile'!F6&gt;0,-('Serie mensile'!F6/'Serie mensile'!F24)*LN('Serie mensile'!F6/'Serie mensile'!F24),0))</x:f>
      </x:c>
      <x:c r="G6" t="str">
        <x:f>IF(OR('Serie mensile'!G6="",'Serie mensile'!G24=""),"",IF('Serie mensile'!G6&gt;0,-('Serie mensile'!G6/'Serie mensile'!G24)*LN('Serie mensile'!G6/'Serie mensile'!G24),0))</x:f>
      </x:c>
      <x:c r="H6" t="str">
        <x:f>IF(OR('Serie mensile'!H6="",'Serie mensile'!H24=""),"",IF('Serie mensile'!H6&gt;0,-('Serie mensile'!H6/'Serie mensile'!H24)*LN('Serie mensile'!H6/'Serie mensile'!H24),0))</x:f>
      </x:c>
      <x:c r="I6" t="str">
        <x:f>IF(OR('Serie mensile'!I6="",'Serie mensile'!I24=""),"",IF('Serie mensile'!I6&gt;0,-('Serie mensile'!I6/'Serie mensile'!I24)*LN('Serie mensile'!I6/'Serie mensile'!I24),0))</x:f>
      </x:c>
      <x:c r="J6" t="str">
        <x:f>IF(OR('Serie mensile'!J6="",'Serie mensile'!J24=""),"",IF('Serie mensile'!J6&gt;0,-('Serie mensile'!J6/'Serie mensile'!J24)*LN('Serie mensile'!J6/'Serie mensile'!J24),0))</x:f>
      </x:c>
      <x:c r="K6" t="str">
        <x:f>IF(OR('Serie mensile'!K6="",'Serie mensile'!K24=""),"",IF('Serie mensile'!K6&gt;0,-('Serie mensile'!K6/'Serie mensile'!K24)*LN('Serie mensile'!K6/'Serie mensile'!K24),0))</x:f>
      </x:c>
      <x:c r="L6" t="str">
        <x:f>IF(OR('Serie mensile'!L6="",'Serie mensile'!L24=""),"",IF('Serie mensile'!L6&gt;0,-('Serie mensile'!L6/'Serie mensile'!L24)*LN('Serie mensile'!L6/'Serie mensile'!L24),0))</x:f>
      </x:c>
      <x:c r="M6" t="str">
        <x:f>IF(OR('Serie mensile'!M6="",'Serie mensile'!M24=""),"",IF('Serie mensile'!M6&gt;0,-('Serie mensile'!M6/'Serie mensile'!M24)*LN('Serie mensile'!M6/'Serie mensile'!M24),0))</x:f>
      </x:c>
      <x:c r="N6" t="str">
        <x:f>IF(OR('Serie mensile'!N6="",'Serie mensile'!N24=""),"",IF('Serie mensile'!N6&gt;0,-('Serie mensile'!N6/'Serie mensile'!N24)*LN('Serie mensile'!N6/'Serie mensile'!N24),0))</x:f>
      </x:c>
    </x:row>
    <x:row r="7">
      <x:c r="A7" t="str">
        <x:v>Lombardia</x:v>
      </x:c>
      <x:c r="B7" t="n">
        <x:f>IF(OR('Serie mensile'!B7="",'Serie mensile'!B24=""),"",IF('Serie mensile'!B7&gt;0,-('Serie mensile'!B7/'Serie mensile'!B24)*LN('Serie mensile'!B7/'Serie mensile'!B24),0))</x:f>
        <x:v>0.2858490084603685</x:v>
      </x:c>
      <x:c r="C7" t="str">
        <x:f>IF(OR('Serie mensile'!C7="",'Serie mensile'!C24=""),"",IF('Serie mensile'!C7&gt;0,-('Serie mensile'!C7/'Serie mensile'!C24)*LN('Serie mensile'!C7/'Serie mensile'!C24),0))</x:f>
      </x:c>
      <x:c r="D7" t="str">
        <x:f>IF(OR('Serie mensile'!D7="",'Serie mensile'!D24=""),"",IF('Serie mensile'!D7&gt;0,-('Serie mensile'!D7/'Serie mensile'!D24)*LN('Serie mensile'!D7/'Serie mensile'!D24),0))</x:f>
      </x:c>
      <x:c r="E7" t="str">
        <x:f>IF(OR('Serie mensile'!E7="",'Serie mensile'!E24=""),"",IF('Serie mensile'!E7&gt;0,-('Serie mensile'!E7/'Serie mensile'!E24)*LN('Serie mensile'!E7/'Serie mensile'!E24),0))</x:f>
      </x:c>
      <x:c r="F7" t="str">
        <x:f>IF(OR('Serie mensile'!F7="",'Serie mensile'!F24=""),"",IF('Serie mensile'!F7&gt;0,-('Serie mensile'!F7/'Serie mensile'!F24)*LN('Serie mensile'!F7/'Serie mensile'!F24),0))</x:f>
      </x:c>
      <x:c r="G7" t="str">
        <x:f>IF(OR('Serie mensile'!G7="",'Serie mensile'!G24=""),"",IF('Serie mensile'!G7&gt;0,-('Serie mensile'!G7/'Serie mensile'!G24)*LN('Serie mensile'!G7/'Serie mensile'!G24),0))</x:f>
      </x:c>
      <x:c r="H7" t="str">
        <x:f>IF(OR('Serie mensile'!H7="",'Serie mensile'!H24=""),"",IF('Serie mensile'!H7&gt;0,-('Serie mensile'!H7/'Serie mensile'!H24)*LN('Serie mensile'!H7/'Serie mensile'!H24),0))</x:f>
      </x:c>
      <x:c r="I7" t="str">
        <x:f>IF(OR('Serie mensile'!I7="",'Serie mensile'!I24=""),"",IF('Serie mensile'!I7&gt;0,-('Serie mensile'!I7/'Serie mensile'!I24)*LN('Serie mensile'!I7/'Serie mensile'!I24),0))</x:f>
      </x:c>
      <x:c r="J7" t="str">
        <x:f>IF(OR('Serie mensile'!J7="",'Serie mensile'!J24=""),"",IF('Serie mensile'!J7&gt;0,-('Serie mensile'!J7/'Serie mensile'!J24)*LN('Serie mensile'!J7/'Serie mensile'!J24),0))</x:f>
      </x:c>
      <x:c r="K7" t="str">
        <x:f>IF(OR('Serie mensile'!K7="",'Serie mensile'!K24=""),"",IF('Serie mensile'!K7&gt;0,-('Serie mensile'!K7/'Serie mensile'!K24)*LN('Serie mensile'!K7/'Serie mensile'!K24),0))</x:f>
      </x:c>
      <x:c r="L7" t="str">
        <x:f>IF(OR('Serie mensile'!L7="",'Serie mensile'!L24=""),"",IF('Serie mensile'!L7&gt;0,-('Serie mensile'!L7/'Serie mensile'!L24)*LN('Serie mensile'!L7/'Serie mensile'!L24),0))</x:f>
      </x:c>
      <x:c r="M7" t="str">
        <x:f>IF(OR('Serie mensile'!M7="",'Serie mensile'!M24=""),"",IF('Serie mensile'!M7&gt;0,-('Serie mensile'!M7/'Serie mensile'!M24)*LN('Serie mensile'!M7/'Serie mensile'!M24),0))</x:f>
      </x:c>
      <x:c r="N7" t="str">
        <x:f>IF(OR('Serie mensile'!N7="",'Serie mensile'!N24=""),"",IF('Serie mensile'!N7&gt;0,-('Serie mensile'!N7/'Serie mensile'!N24)*LN('Serie mensile'!N7/'Serie mensile'!N24),0))</x:f>
      </x:c>
    </x:row>
    <x:row r="8">
      <x:c r="A8" t="str">
        <x:v>Trentino-Alto Adige</x:v>
      </x:c>
      <x:c r="B8" t="n">
        <x:f>IF(OR('Serie mensile'!B8="",'Serie mensile'!B24=""),"",IF('Serie mensile'!B8&gt;0,-('Serie mensile'!B8/'Serie mensile'!B24)*LN('Serie mensile'!B8/'Serie mensile'!B24),0))</x:f>
        <x:v>0.05306385704390741</x:v>
      </x:c>
      <x:c r="C8" t="str">
        <x:f>IF(OR('Serie mensile'!C8="",'Serie mensile'!C24=""),"",IF('Serie mensile'!C8&gt;0,-('Serie mensile'!C8/'Serie mensile'!C24)*LN('Serie mensile'!C8/'Serie mensile'!C24),0))</x:f>
      </x:c>
      <x:c r="D8" t="str">
        <x:f>IF(OR('Serie mensile'!D8="",'Serie mensile'!D24=""),"",IF('Serie mensile'!D8&gt;0,-('Serie mensile'!D8/'Serie mensile'!D24)*LN('Serie mensile'!D8/'Serie mensile'!D24),0))</x:f>
      </x:c>
      <x:c r="E8" t="str">
        <x:f>IF(OR('Serie mensile'!E8="",'Serie mensile'!E24=""),"",IF('Serie mensile'!E8&gt;0,-('Serie mensile'!E8/'Serie mensile'!E24)*LN('Serie mensile'!E8/'Serie mensile'!E24),0))</x:f>
      </x:c>
      <x:c r="F8" t="str">
        <x:f>IF(OR('Serie mensile'!F8="",'Serie mensile'!F24=""),"",IF('Serie mensile'!F8&gt;0,-('Serie mensile'!F8/'Serie mensile'!F24)*LN('Serie mensile'!F8/'Serie mensile'!F24),0))</x:f>
      </x:c>
      <x:c r="G8" t="str">
        <x:f>IF(OR('Serie mensile'!G8="",'Serie mensile'!G24=""),"",IF('Serie mensile'!G8&gt;0,-('Serie mensile'!G8/'Serie mensile'!G24)*LN('Serie mensile'!G8/'Serie mensile'!G24),0))</x:f>
      </x:c>
      <x:c r="H8" t="str">
        <x:f>IF(OR('Serie mensile'!H8="",'Serie mensile'!H24=""),"",IF('Serie mensile'!H8&gt;0,-('Serie mensile'!H8/'Serie mensile'!H24)*LN('Serie mensile'!H8/'Serie mensile'!H24),0))</x:f>
      </x:c>
      <x:c r="I8" t="str">
        <x:f>IF(OR('Serie mensile'!I8="",'Serie mensile'!I24=""),"",IF('Serie mensile'!I8&gt;0,-('Serie mensile'!I8/'Serie mensile'!I24)*LN('Serie mensile'!I8/'Serie mensile'!I24),0))</x:f>
      </x:c>
      <x:c r="J8" t="str">
        <x:f>IF(OR('Serie mensile'!J8="",'Serie mensile'!J24=""),"",IF('Serie mensile'!J8&gt;0,-('Serie mensile'!J8/'Serie mensile'!J24)*LN('Serie mensile'!J8/'Serie mensile'!J24),0))</x:f>
      </x:c>
      <x:c r="K8" t="str">
        <x:f>IF(OR('Serie mensile'!K8="",'Serie mensile'!K24=""),"",IF('Serie mensile'!K8&gt;0,-('Serie mensile'!K8/'Serie mensile'!K24)*LN('Serie mensile'!K8/'Serie mensile'!K24),0))</x:f>
      </x:c>
      <x:c r="L8" t="str">
        <x:f>IF(OR('Serie mensile'!L8="",'Serie mensile'!L24=""),"",IF('Serie mensile'!L8&gt;0,-('Serie mensile'!L8/'Serie mensile'!L24)*LN('Serie mensile'!L8/'Serie mensile'!L24),0))</x:f>
      </x:c>
      <x:c r="M8" t="str">
        <x:f>IF(OR('Serie mensile'!M8="",'Serie mensile'!M24=""),"",IF('Serie mensile'!M8&gt;0,-('Serie mensile'!M8/'Serie mensile'!M24)*LN('Serie mensile'!M8/'Serie mensile'!M24),0))</x:f>
      </x:c>
      <x:c r="N8" t="str">
        <x:f>IF(OR('Serie mensile'!N8="",'Serie mensile'!N24=""),"",IF('Serie mensile'!N8&gt;0,-('Serie mensile'!N8/'Serie mensile'!N24)*LN('Serie mensile'!N8/'Serie mensile'!N24),0))</x:f>
      </x:c>
    </x:row>
    <x:row r="9">
      <x:c r="A9" t="str">
        <x:v>Veneto</x:v>
      </x:c>
      <x:c r="B9" t="n">
        <x:f>IF(OR('Serie mensile'!B9="",'Serie mensile'!B24=""),"",IF('Serie mensile'!B9&gt;0,-('Serie mensile'!B9/'Serie mensile'!B24)*LN('Serie mensile'!B9/'Serie mensile'!B24),0))</x:f>
        <x:v>0.23274119427714732</x:v>
      </x:c>
      <x:c r="C9" t="str">
        <x:f>IF(OR('Serie mensile'!C9="",'Serie mensile'!C24=""),"",IF('Serie mensile'!C9&gt;0,-('Serie mensile'!C9/'Serie mensile'!C24)*LN('Serie mensile'!C9/'Serie mensile'!C24),0))</x:f>
      </x:c>
      <x:c r="D9" t="str">
        <x:f>IF(OR('Serie mensile'!D9="",'Serie mensile'!D24=""),"",IF('Serie mensile'!D9&gt;0,-('Serie mensile'!D9/'Serie mensile'!D24)*LN('Serie mensile'!D9/'Serie mensile'!D24),0))</x:f>
      </x:c>
      <x:c r="E9" t="str">
        <x:f>IF(OR('Serie mensile'!E9="",'Serie mensile'!E24=""),"",IF('Serie mensile'!E9&gt;0,-('Serie mensile'!E9/'Serie mensile'!E24)*LN('Serie mensile'!E9/'Serie mensile'!E24),0))</x:f>
      </x:c>
      <x:c r="F9" t="str">
        <x:f>IF(OR('Serie mensile'!F9="",'Serie mensile'!F24=""),"",IF('Serie mensile'!F9&gt;0,-('Serie mensile'!F9/'Serie mensile'!F24)*LN('Serie mensile'!F9/'Serie mensile'!F24),0))</x:f>
      </x:c>
      <x:c r="G9" t="str">
        <x:f>IF(OR('Serie mensile'!G9="",'Serie mensile'!G24=""),"",IF('Serie mensile'!G9&gt;0,-('Serie mensile'!G9/'Serie mensile'!G24)*LN('Serie mensile'!G9/'Serie mensile'!G24),0))</x:f>
      </x:c>
      <x:c r="H9" t="str">
        <x:f>IF(OR('Serie mensile'!H9="",'Serie mensile'!H24=""),"",IF('Serie mensile'!H9&gt;0,-('Serie mensile'!H9/'Serie mensile'!H24)*LN('Serie mensile'!H9/'Serie mensile'!H24),0))</x:f>
      </x:c>
      <x:c r="I9" t="str">
        <x:f>IF(OR('Serie mensile'!I9="",'Serie mensile'!I24=""),"",IF('Serie mensile'!I9&gt;0,-('Serie mensile'!I9/'Serie mensile'!I24)*LN('Serie mensile'!I9/'Serie mensile'!I24),0))</x:f>
      </x:c>
      <x:c r="J9" t="str">
        <x:f>IF(OR('Serie mensile'!J9="",'Serie mensile'!J24=""),"",IF('Serie mensile'!J9&gt;0,-('Serie mensile'!J9/'Serie mensile'!J24)*LN('Serie mensile'!J9/'Serie mensile'!J24),0))</x:f>
      </x:c>
      <x:c r="K9" t="str">
        <x:f>IF(OR('Serie mensile'!K9="",'Serie mensile'!K24=""),"",IF('Serie mensile'!K9&gt;0,-('Serie mensile'!K9/'Serie mensile'!K24)*LN('Serie mensile'!K9/'Serie mensile'!K24),0))</x:f>
      </x:c>
      <x:c r="L9" t="str">
        <x:f>IF(OR('Serie mensile'!L9="",'Serie mensile'!L24=""),"",IF('Serie mensile'!L9&gt;0,-('Serie mensile'!L9/'Serie mensile'!L24)*LN('Serie mensile'!L9/'Serie mensile'!L24),0))</x:f>
      </x:c>
      <x:c r="M9" t="str">
        <x:f>IF(OR('Serie mensile'!M9="",'Serie mensile'!M24=""),"",IF('Serie mensile'!M9&gt;0,-('Serie mensile'!M9/'Serie mensile'!M24)*LN('Serie mensile'!M9/'Serie mensile'!M24),0))</x:f>
      </x:c>
      <x:c r="N9" t="str">
        <x:f>IF(OR('Serie mensile'!N9="",'Serie mensile'!N24=""),"",IF('Serie mensile'!N9&gt;0,-('Serie mensile'!N9/'Serie mensile'!N24)*LN('Serie mensile'!N9/'Serie mensile'!N24),0))</x:f>
      </x:c>
    </x:row>
    <x:row r="10">
      <x:c r="A10" t="str">
        <x:v>Friuli-Venezia Giulia</x:v>
      </x:c>
      <x:c r="B10" t="n">
        <x:f>IF(OR('Serie mensile'!B10="",'Serie mensile'!B24=""),"",IF('Serie mensile'!B10&gt;0,-('Serie mensile'!B10/'Serie mensile'!B24)*LN('Serie mensile'!B10/'Serie mensile'!B24),0))</x:f>
        <x:v>0.08963589906661361</x:v>
      </x:c>
      <x:c r="C10" t="str">
        <x:f>IF(OR('Serie mensile'!C10="",'Serie mensile'!C24=""),"",IF('Serie mensile'!C10&gt;0,-('Serie mensile'!C10/'Serie mensile'!C24)*LN('Serie mensile'!C10/'Serie mensile'!C24),0))</x:f>
      </x:c>
      <x:c r="D10" t="str">
        <x:f>IF(OR('Serie mensile'!D10="",'Serie mensile'!D24=""),"",IF('Serie mensile'!D10&gt;0,-('Serie mensile'!D10/'Serie mensile'!D24)*LN('Serie mensile'!D10/'Serie mensile'!D24),0))</x:f>
      </x:c>
      <x:c r="E10" t="str">
        <x:f>IF(OR('Serie mensile'!E10="",'Serie mensile'!E24=""),"",IF('Serie mensile'!E10&gt;0,-('Serie mensile'!E10/'Serie mensile'!E24)*LN('Serie mensile'!E10/'Serie mensile'!E24),0))</x:f>
      </x:c>
      <x:c r="F10" t="str">
        <x:f>IF(OR('Serie mensile'!F10="",'Serie mensile'!F24=""),"",IF('Serie mensile'!F10&gt;0,-('Serie mensile'!F10/'Serie mensile'!F24)*LN('Serie mensile'!F10/'Serie mensile'!F24),0))</x:f>
      </x:c>
      <x:c r="G10" t="str">
        <x:f>IF(OR('Serie mensile'!G10="",'Serie mensile'!G24=""),"",IF('Serie mensile'!G10&gt;0,-('Serie mensile'!G10/'Serie mensile'!G24)*LN('Serie mensile'!G10/'Serie mensile'!G24),0))</x:f>
      </x:c>
      <x:c r="H10" t="str">
        <x:f>IF(OR('Serie mensile'!H10="",'Serie mensile'!H24=""),"",IF('Serie mensile'!H10&gt;0,-('Serie mensile'!H10/'Serie mensile'!H24)*LN('Serie mensile'!H10/'Serie mensile'!H24),0))</x:f>
      </x:c>
      <x:c r="I10" t="str">
        <x:f>IF(OR('Serie mensile'!I10="",'Serie mensile'!I24=""),"",IF('Serie mensile'!I10&gt;0,-('Serie mensile'!I10/'Serie mensile'!I24)*LN('Serie mensile'!I10/'Serie mensile'!I24),0))</x:f>
      </x:c>
      <x:c r="J10" t="str">
        <x:f>IF(OR('Serie mensile'!J10="",'Serie mensile'!J24=""),"",IF('Serie mensile'!J10&gt;0,-('Serie mensile'!J10/'Serie mensile'!J24)*LN('Serie mensile'!J10/'Serie mensile'!J24),0))</x:f>
      </x:c>
      <x:c r="K10" t="str">
        <x:f>IF(OR('Serie mensile'!K10="",'Serie mensile'!K24=""),"",IF('Serie mensile'!K10&gt;0,-('Serie mensile'!K10/'Serie mensile'!K24)*LN('Serie mensile'!K10/'Serie mensile'!K24),0))</x:f>
      </x:c>
      <x:c r="L10" t="str">
        <x:f>IF(OR('Serie mensile'!L10="",'Serie mensile'!L24=""),"",IF('Serie mensile'!L10&gt;0,-('Serie mensile'!L10/'Serie mensile'!L24)*LN('Serie mensile'!L10/'Serie mensile'!L24),0))</x:f>
      </x:c>
      <x:c r="M10" t="str">
        <x:f>IF(OR('Serie mensile'!M10="",'Serie mensile'!M24=""),"",IF('Serie mensile'!M10&gt;0,-('Serie mensile'!M10/'Serie mensile'!M24)*LN('Serie mensile'!M10/'Serie mensile'!M24),0))</x:f>
      </x:c>
      <x:c r="N10" t="str">
        <x:f>IF(OR('Serie mensile'!N10="",'Serie mensile'!N24=""),"",IF('Serie mensile'!N10&gt;0,-('Serie mensile'!N10/'Serie mensile'!N24)*LN('Serie mensile'!N10/'Serie mensile'!N24),0))</x:f>
      </x:c>
    </x:row>
    <x:row r="11">
      <x:c r="A11" t="str">
        <x:v>Emilia-Romagna</x:v>
      </x:c>
      <x:c r="B11" t="n">
        <x:f>IF(OR('Serie mensile'!B11="",'Serie mensile'!B24=""),"",IF('Serie mensile'!B11&gt;0,-('Serie mensile'!B11/'Serie mensile'!B24)*LN('Serie mensile'!B11/'Serie mensile'!B24),0))</x:f>
        <x:v>0.16900899439867323</x:v>
      </x:c>
      <x:c r="C11" t="str">
        <x:f>IF(OR('Serie mensile'!C11="",'Serie mensile'!C24=""),"",IF('Serie mensile'!C11&gt;0,-('Serie mensile'!C11/'Serie mensile'!C24)*LN('Serie mensile'!C11/'Serie mensile'!C24),0))</x:f>
      </x:c>
      <x:c r="D11" t="str">
        <x:f>IF(OR('Serie mensile'!D11="",'Serie mensile'!D24=""),"",IF('Serie mensile'!D11&gt;0,-('Serie mensile'!D11/'Serie mensile'!D24)*LN('Serie mensile'!D11/'Serie mensile'!D24),0))</x:f>
      </x:c>
      <x:c r="E11" t="str">
        <x:f>IF(OR('Serie mensile'!E11="",'Serie mensile'!E24=""),"",IF('Serie mensile'!E11&gt;0,-('Serie mensile'!E11/'Serie mensile'!E24)*LN('Serie mensile'!E11/'Serie mensile'!E24),0))</x:f>
      </x:c>
      <x:c r="F11" t="str">
        <x:f>IF(OR('Serie mensile'!F11="",'Serie mensile'!F24=""),"",IF('Serie mensile'!F11&gt;0,-('Serie mensile'!F11/'Serie mensile'!F24)*LN('Serie mensile'!F11/'Serie mensile'!F24),0))</x:f>
      </x:c>
      <x:c r="G11" t="str">
        <x:f>IF(OR('Serie mensile'!G11="",'Serie mensile'!G24=""),"",IF('Serie mensile'!G11&gt;0,-('Serie mensile'!G11/'Serie mensile'!G24)*LN('Serie mensile'!G11/'Serie mensile'!G24),0))</x:f>
      </x:c>
      <x:c r="H11" t="str">
        <x:f>IF(OR('Serie mensile'!H11="",'Serie mensile'!H24=""),"",IF('Serie mensile'!H11&gt;0,-('Serie mensile'!H11/'Serie mensile'!H24)*LN('Serie mensile'!H11/'Serie mensile'!H24),0))</x:f>
      </x:c>
      <x:c r="I11" t="str">
        <x:f>IF(OR('Serie mensile'!I11="",'Serie mensile'!I24=""),"",IF('Serie mensile'!I11&gt;0,-('Serie mensile'!I11/'Serie mensile'!I24)*LN('Serie mensile'!I11/'Serie mensile'!I24),0))</x:f>
      </x:c>
      <x:c r="J11" t="str">
        <x:f>IF(OR('Serie mensile'!J11="",'Serie mensile'!J24=""),"",IF('Serie mensile'!J11&gt;0,-('Serie mensile'!J11/'Serie mensile'!J24)*LN('Serie mensile'!J11/'Serie mensile'!J24),0))</x:f>
      </x:c>
      <x:c r="K11" t="str">
        <x:f>IF(OR('Serie mensile'!K11="",'Serie mensile'!K24=""),"",IF('Serie mensile'!K11&gt;0,-('Serie mensile'!K11/'Serie mensile'!K24)*LN('Serie mensile'!K11/'Serie mensile'!K24),0))</x:f>
      </x:c>
      <x:c r="L11" t="str">
        <x:f>IF(OR('Serie mensile'!L11="",'Serie mensile'!L24=""),"",IF('Serie mensile'!L11&gt;0,-('Serie mensile'!L11/'Serie mensile'!L24)*LN('Serie mensile'!L11/'Serie mensile'!L24),0))</x:f>
      </x:c>
      <x:c r="M11" t="str">
        <x:f>IF(OR('Serie mensile'!M11="",'Serie mensile'!M24=""),"",IF('Serie mensile'!M11&gt;0,-('Serie mensile'!M11/'Serie mensile'!M24)*LN('Serie mensile'!M11/'Serie mensile'!M24),0))</x:f>
      </x:c>
      <x:c r="N11" t="str">
        <x:f>IF(OR('Serie mensile'!N11="",'Serie mensile'!N24=""),"",IF('Serie mensile'!N11&gt;0,-('Serie mensile'!N11/'Serie mensile'!N24)*LN('Serie mensile'!N11/'Serie mensile'!N24),0))</x:f>
      </x:c>
    </x:row>
    <x:row r="12">
      <x:c r="A12" t="str">
        <x:v>Toscana</x:v>
      </x:c>
      <x:c r="B12" t="n">
        <x:f>IF(OR('Serie mensile'!B12="",'Serie mensile'!B24=""),"",IF('Serie mensile'!B12&gt;0,-('Serie mensile'!B12/'Serie mensile'!B24)*LN('Serie mensile'!B12/'Serie mensile'!B24),0))</x:f>
        <x:v>0.1463020144974233</x:v>
      </x:c>
      <x:c r="C12" t="str">
        <x:f>IF(OR('Serie mensile'!C12="",'Serie mensile'!C24=""),"",IF('Serie mensile'!C12&gt;0,-('Serie mensile'!C12/'Serie mensile'!C24)*LN('Serie mensile'!C12/'Serie mensile'!C24),0))</x:f>
      </x:c>
      <x:c r="D12" t="str">
        <x:f>IF(OR('Serie mensile'!D12="",'Serie mensile'!D24=""),"",IF('Serie mensile'!D12&gt;0,-('Serie mensile'!D12/'Serie mensile'!D24)*LN('Serie mensile'!D12/'Serie mensile'!D24),0))</x:f>
      </x:c>
      <x:c r="E12" t="str">
        <x:f>IF(OR('Serie mensile'!E12="",'Serie mensile'!E24=""),"",IF('Serie mensile'!E12&gt;0,-('Serie mensile'!E12/'Serie mensile'!E24)*LN('Serie mensile'!E12/'Serie mensile'!E24),0))</x:f>
      </x:c>
      <x:c r="F12" t="str">
        <x:f>IF(OR('Serie mensile'!F12="",'Serie mensile'!F24=""),"",IF('Serie mensile'!F12&gt;0,-('Serie mensile'!F12/'Serie mensile'!F24)*LN('Serie mensile'!F12/'Serie mensile'!F24),0))</x:f>
      </x:c>
      <x:c r="G12" t="str">
        <x:f>IF(OR('Serie mensile'!G12="",'Serie mensile'!G24=""),"",IF('Serie mensile'!G12&gt;0,-('Serie mensile'!G12/'Serie mensile'!G24)*LN('Serie mensile'!G12/'Serie mensile'!G24),0))</x:f>
      </x:c>
      <x:c r="H12" t="str">
        <x:f>IF(OR('Serie mensile'!H12="",'Serie mensile'!H24=""),"",IF('Serie mensile'!H12&gt;0,-('Serie mensile'!H12/'Serie mensile'!H24)*LN('Serie mensile'!H12/'Serie mensile'!H24),0))</x:f>
      </x:c>
      <x:c r="I12" t="str">
        <x:f>IF(OR('Serie mensile'!I12="",'Serie mensile'!I24=""),"",IF('Serie mensile'!I12&gt;0,-('Serie mensile'!I12/'Serie mensile'!I24)*LN('Serie mensile'!I12/'Serie mensile'!I24),0))</x:f>
      </x:c>
      <x:c r="J12" t="str">
        <x:f>IF(OR('Serie mensile'!J12="",'Serie mensile'!J24=""),"",IF('Serie mensile'!J12&gt;0,-('Serie mensile'!J12/'Serie mensile'!J24)*LN('Serie mensile'!J12/'Serie mensile'!J24),0))</x:f>
      </x:c>
      <x:c r="K12" t="str">
        <x:f>IF(OR('Serie mensile'!K12="",'Serie mensile'!K24=""),"",IF('Serie mensile'!K12&gt;0,-('Serie mensile'!K12/'Serie mensile'!K24)*LN('Serie mensile'!K12/'Serie mensile'!K24),0))</x:f>
      </x:c>
      <x:c r="L12" t="str">
        <x:f>IF(OR('Serie mensile'!L12="",'Serie mensile'!L24=""),"",IF('Serie mensile'!L12&gt;0,-('Serie mensile'!L12/'Serie mensile'!L24)*LN('Serie mensile'!L12/'Serie mensile'!L24),0))</x:f>
      </x:c>
      <x:c r="M12" t="str">
        <x:f>IF(OR('Serie mensile'!M12="",'Serie mensile'!M24=""),"",IF('Serie mensile'!M12&gt;0,-('Serie mensile'!M12/'Serie mensile'!M24)*LN('Serie mensile'!M12/'Serie mensile'!M24),0))</x:f>
      </x:c>
      <x:c r="N12" t="str">
        <x:f>IF(OR('Serie mensile'!N12="",'Serie mensile'!N24=""),"",IF('Serie mensile'!N12&gt;0,-('Serie mensile'!N12/'Serie mensile'!N24)*LN('Serie mensile'!N12/'Serie mensile'!N24),0))</x:f>
      </x:c>
    </x:row>
    <x:row r="13">
      <x:c r="A13" t="str">
        <x:v>Umbria</x:v>
      </x:c>
      <x:c r="B13" t="n">
        <x:f>IF(OR('Serie mensile'!B13="",'Serie mensile'!B24=""),"",IF('Serie mensile'!B13&gt;0,-('Serie mensile'!B13/'Serie mensile'!B24)*LN('Serie mensile'!B13/'Serie mensile'!B24),0))</x:f>
        <x:v>0.058051701294523285</x:v>
      </x:c>
      <x:c r="C13" t="str">
        <x:f>IF(OR('Serie mensile'!C13="",'Serie mensile'!C24=""),"",IF('Serie mensile'!C13&gt;0,-('Serie mensile'!C13/'Serie mensile'!C24)*LN('Serie mensile'!C13/'Serie mensile'!C24),0))</x:f>
      </x:c>
      <x:c r="D13" t="str">
        <x:f>IF(OR('Serie mensile'!D13="",'Serie mensile'!D24=""),"",IF('Serie mensile'!D13&gt;0,-('Serie mensile'!D13/'Serie mensile'!D24)*LN('Serie mensile'!D13/'Serie mensile'!D24),0))</x:f>
      </x:c>
      <x:c r="E13" t="str">
        <x:f>IF(OR('Serie mensile'!E13="",'Serie mensile'!E24=""),"",IF('Serie mensile'!E13&gt;0,-('Serie mensile'!E13/'Serie mensile'!E24)*LN('Serie mensile'!E13/'Serie mensile'!E24),0))</x:f>
      </x:c>
      <x:c r="F13" t="str">
        <x:f>IF(OR('Serie mensile'!F13="",'Serie mensile'!F24=""),"",IF('Serie mensile'!F13&gt;0,-('Serie mensile'!F13/'Serie mensile'!F24)*LN('Serie mensile'!F13/'Serie mensile'!F24),0))</x:f>
      </x:c>
      <x:c r="G13" t="str">
        <x:f>IF(OR('Serie mensile'!G13="",'Serie mensile'!G24=""),"",IF('Serie mensile'!G13&gt;0,-('Serie mensile'!G13/'Serie mensile'!G24)*LN('Serie mensile'!G13/'Serie mensile'!G24),0))</x:f>
      </x:c>
      <x:c r="H13" t="str">
        <x:f>IF(OR('Serie mensile'!H13="",'Serie mensile'!H24=""),"",IF('Serie mensile'!H13&gt;0,-('Serie mensile'!H13/'Serie mensile'!H24)*LN('Serie mensile'!H13/'Serie mensile'!H24),0))</x:f>
      </x:c>
      <x:c r="I13" t="str">
        <x:f>IF(OR('Serie mensile'!I13="",'Serie mensile'!I24=""),"",IF('Serie mensile'!I13&gt;0,-('Serie mensile'!I13/'Serie mensile'!I24)*LN('Serie mensile'!I13/'Serie mensile'!I24),0))</x:f>
      </x:c>
      <x:c r="J13" t="str">
        <x:f>IF(OR('Serie mensile'!J13="",'Serie mensile'!J24=""),"",IF('Serie mensile'!J13&gt;0,-('Serie mensile'!J13/'Serie mensile'!J24)*LN('Serie mensile'!J13/'Serie mensile'!J24),0))</x:f>
      </x:c>
      <x:c r="K13" t="str">
        <x:f>IF(OR('Serie mensile'!K13="",'Serie mensile'!K24=""),"",IF('Serie mensile'!K13&gt;0,-('Serie mensile'!K13/'Serie mensile'!K24)*LN('Serie mensile'!K13/'Serie mensile'!K24),0))</x:f>
      </x:c>
      <x:c r="L13" t="str">
        <x:f>IF(OR('Serie mensile'!L13="",'Serie mensile'!L24=""),"",IF('Serie mensile'!L13&gt;0,-('Serie mensile'!L13/'Serie mensile'!L24)*LN('Serie mensile'!L13/'Serie mensile'!L24),0))</x:f>
      </x:c>
      <x:c r="M13" t="str">
        <x:f>IF(OR('Serie mensile'!M13="",'Serie mensile'!M24=""),"",IF('Serie mensile'!M13&gt;0,-('Serie mensile'!M13/'Serie mensile'!M24)*LN('Serie mensile'!M13/'Serie mensile'!M24),0))</x:f>
      </x:c>
      <x:c r="N13" t="str">
        <x:f>IF(OR('Serie mensile'!N13="",'Serie mensile'!N24=""),"",IF('Serie mensile'!N13&gt;0,-('Serie mensile'!N13/'Serie mensile'!N24)*LN('Serie mensile'!N13/'Serie mensile'!N24),0))</x:f>
      </x:c>
    </x:row>
    <x:row r="14">
      <x:c r="A14" t="str">
        <x:v>Marche</x:v>
      </x:c>
      <x:c r="B14" t="n">
        <x:f>IF(OR('Serie mensile'!B14="",'Serie mensile'!B24=""),"",IF('Serie mensile'!B14&gt;0,-('Serie mensile'!B14/'Serie mensile'!B24)*LN('Serie mensile'!B14/'Serie mensile'!B24),0))</x:f>
        <x:v>0.09813326110815139</x:v>
      </x:c>
      <x:c r="C14" t="str">
        <x:f>IF(OR('Serie mensile'!C14="",'Serie mensile'!C24=""),"",IF('Serie mensile'!C14&gt;0,-('Serie mensile'!C14/'Serie mensile'!C24)*LN('Serie mensile'!C14/'Serie mensile'!C24),0))</x:f>
      </x:c>
      <x:c r="D14" t="str">
        <x:f>IF(OR('Serie mensile'!D14="",'Serie mensile'!D24=""),"",IF('Serie mensile'!D14&gt;0,-('Serie mensile'!D14/'Serie mensile'!D24)*LN('Serie mensile'!D14/'Serie mensile'!D24),0))</x:f>
      </x:c>
      <x:c r="E14" t="str">
        <x:f>IF(OR('Serie mensile'!E14="",'Serie mensile'!E24=""),"",IF('Serie mensile'!E14&gt;0,-('Serie mensile'!E14/'Serie mensile'!E24)*LN('Serie mensile'!E14/'Serie mensile'!E24),0))</x:f>
      </x:c>
      <x:c r="F14" t="str">
        <x:f>IF(OR('Serie mensile'!F14="",'Serie mensile'!F24=""),"",IF('Serie mensile'!F14&gt;0,-('Serie mensile'!F14/'Serie mensile'!F24)*LN('Serie mensile'!F14/'Serie mensile'!F24),0))</x:f>
      </x:c>
      <x:c r="G14" t="str">
        <x:f>IF(OR('Serie mensile'!G14="",'Serie mensile'!G24=""),"",IF('Serie mensile'!G14&gt;0,-('Serie mensile'!G14/'Serie mensile'!G24)*LN('Serie mensile'!G14/'Serie mensile'!G24),0))</x:f>
      </x:c>
      <x:c r="H14" t="str">
        <x:f>IF(OR('Serie mensile'!H14="",'Serie mensile'!H24=""),"",IF('Serie mensile'!H14&gt;0,-('Serie mensile'!H14/'Serie mensile'!H24)*LN('Serie mensile'!H14/'Serie mensile'!H24),0))</x:f>
      </x:c>
      <x:c r="I14" t="str">
        <x:f>IF(OR('Serie mensile'!I14="",'Serie mensile'!I24=""),"",IF('Serie mensile'!I14&gt;0,-('Serie mensile'!I14/'Serie mensile'!I24)*LN('Serie mensile'!I14/'Serie mensile'!I24),0))</x:f>
      </x:c>
      <x:c r="J14" t="str">
        <x:f>IF(OR('Serie mensile'!J14="",'Serie mensile'!J24=""),"",IF('Serie mensile'!J14&gt;0,-('Serie mensile'!J14/'Serie mensile'!J24)*LN('Serie mensile'!J14/'Serie mensile'!J24),0))</x:f>
      </x:c>
      <x:c r="K14" t="str">
        <x:f>IF(OR('Serie mensile'!K14="",'Serie mensile'!K24=""),"",IF('Serie mensile'!K14&gt;0,-('Serie mensile'!K14/'Serie mensile'!K24)*LN('Serie mensile'!K14/'Serie mensile'!K24),0))</x:f>
      </x:c>
      <x:c r="L14" t="str">
        <x:f>IF(OR('Serie mensile'!L14="",'Serie mensile'!L24=""),"",IF('Serie mensile'!L14&gt;0,-('Serie mensile'!L14/'Serie mensile'!L24)*LN('Serie mensile'!L14/'Serie mensile'!L24),0))</x:f>
      </x:c>
      <x:c r="M14" t="str">
        <x:f>IF(OR('Serie mensile'!M14="",'Serie mensile'!M24=""),"",IF('Serie mensile'!M14&gt;0,-('Serie mensile'!M14/'Serie mensile'!M24)*LN('Serie mensile'!M14/'Serie mensile'!M24),0))</x:f>
      </x:c>
      <x:c r="N14" t="str">
        <x:f>IF(OR('Serie mensile'!N14="",'Serie mensile'!N24=""),"",IF('Serie mensile'!N14&gt;0,-('Serie mensile'!N14/'Serie mensile'!N24)*LN('Serie mensile'!N14/'Serie mensile'!N24),0))</x:f>
      </x:c>
    </x:row>
    <x:row r="15">
      <x:c r="A15" t="str">
        <x:v>Lazio</x:v>
      </x:c>
      <x:c r="B15" t="n">
        <x:f>IF(OR('Serie mensile'!B15="",'Serie mensile'!B24=""),"",IF('Serie mensile'!B15&gt;0,-('Serie mensile'!B15/'Serie mensile'!B24)*LN('Serie mensile'!B15/'Serie mensile'!B24),0))</x:f>
        <x:v>0.2322729137085778</x:v>
      </x:c>
      <x:c r="C15" t="str">
        <x:f>IF(OR('Serie mensile'!C15="",'Serie mensile'!C24=""),"",IF('Serie mensile'!C15&gt;0,-('Serie mensile'!C15/'Serie mensile'!C24)*LN('Serie mensile'!C15/'Serie mensile'!C24),0))</x:f>
      </x:c>
      <x:c r="D15" t="str">
        <x:f>IF(OR('Serie mensile'!D15="",'Serie mensile'!D24=""),"",IF('Serie mensile'!D15&gt;0,-('Serie mensile'!D15/'Serie mensile'!D24)*LN('Serie mensile'!D15/'Serie mensile'!D24),0))</x:f>
      </x:c>
      <x:c r="E15" t="str">
        <x:f>IF(OR('Serie mensile'!E15="",'Serie mensile'!E24=""),"",IF('Serie mensile'!E15&gt;0,-('Serie mensile'!E15/'Serie mensile'!E24)*LN('Serie mensile'!E15/'Serie mensile'!E24),0))</x:f>
      </x:c>
      <x:c r="F15" t="str">
        <x:f>IF(OR('Serie mensile'!F15="",'Serie mensile'!F24=""),"",IF('Serie mensile'!F15&gt;0,-('Serie mensile'!F15/'Serie mensile'!F24)*LN('Serie mensile'!F15/'Serie mensile'!F24),0))</x:f>
      </x:c>
      <x:c r="G15" t="str">
        <x:f>IF(OR('Serie mensile'!G15="",'Serie mensile'!G24=""),"",IF('Serie mensile'!G15&gt;0,-('Serie mensile'!G15/'Serie mensile'!G24)*LN('Serie mensile'!G15/'Serie mensile'!G24),0))</x:f>
      </x:c>
      <x:c r="H15" t="str">
        <x:f>IF(OR('Serie mensile'!H15="",'Serie mensile'!H24=""),"",IF('Serie mensile'!H15&gt;0,-('Serie mensile'!H15/'Serie mensile'!H24)*LN('Serie mensile'!H15/'Serie mensile'!H24),0))</x:f>
      </x:c>
      <x:c r="I15" t="str">
        <x:f>IF(OR('Serie mensile'!I15="",'Serie mensile'!I24=""),"",IF('Serie mensile'!I15&gt;0,-('Serie mensile'!I15/'Serie mensile'!I24)*LN('Serie mensile'!I15/'Serie mensile'!I24),0))</x:f>
      </x:c>
      <x:c r="J15" t="str">
        <x:f>IF(OR('Serie mensile'!J15="",'Serie mensile'!J24=""),"",IF('Serie mensile'!J15&gt;0,-('Serie mensile'!J15/'Serie mensile'!J24)*LN('Serie mensile'!J15/'Serie mensile'!J24),0))</x:f>
      </x:c>
      <x:c r="K15" t="str">
        <x:f>IF(OR('Serie mensile'!K15="",'Serie mensile'!K24=""),"",IF('Serie mensile'!K15&gt;0,-('Serie mensile'!K15/'Serie mensile'!K24)*LN('Serie mensile'!K15/'Serie mensile'!K24),0))</x:f>
      </x:c>
      <x:c r="L15" t="str">
        <x:f>IF(OR('Serie mensile'!L15="",'Serie mensile'!L24=""),"",IF('Serie mensile'!L15&gt;0,-('Serie mensile'!L15/'Serie mensile'!L24)*LN('Serie mensile'!L15/'Serie mensile'!L24),0))</x:f>
      </x:c>
      <x:c r="M15" t="str">
        <x:f>IF(OR('Serie mensile'!M15="",'Serie mensile'!M24=""),"",IF('Serie mensile'!M15&gt;0,-('Serie mensile'!M15/'Serie mensile'!M24)*LN('Serie mensile'!M15/'Serie mensile'!M24),0))</x:f>
      </x:c>
      <x:c r="N15" t="str">
        <x:f>IF(OR('Serie mensile'!N15="",'Serie mensile'!N24=""),"",IF('Serie mensile'!N15&gt;0,-('Serie mensile'!N15/'Serie mensile'!N24)*LN('Serie mensile'!N15/'Serie mensile'!N24),0))</x:f>
      </x:c>
    </x:row>
    <x:row r="16">
      <x:c r="A16" t="str">
        <x:v>Abruzzo</x:v>
      </x:c>
      <x:c r="B16" t="n">
        <x:f>IF(OR('Serie mensile'!B16="",'Serie mensile'!B24=""),"",IF('Serie mensile'!B16&gt;0,-('Serie mensile'!B16/'Serie mensile'!B24)*LN('Serie mensile'!B16/'Serie mensile'!B24),0))</x:f>
        <x:v>0.09919510015976143</x:v>
      </x:c>
      <x:c r="C16" t="str">
        <x:f>IF(OR('Serie mensile'!C16="",'Serie mensile'!C24=""),"",IF('Serie mensile'!C16&gt;0,-('Serie mensile'!C16/'Serie mensile'!C24)*LN('Serie mensile'!C16/'Serie mensile'!C24),0))</x:f>
      </x:c>
      <x:c r="D16" t="str">
        <x:f>IF(OR('Serie mensile'!D16="",'Serie mensile'!D24=""),"",IF('Serie mensile'!D16&gt;0,-('Serie mensile'!D16/'Serie mensile'!D24)*LN('Serie mensile'!D16/'Serie mensile'!D24),0))</x:f>
      </x:c>
      <x:c r="E16" t="str">
        <x:f>IF(OR('Serie mensile'!E16="",'Serie mensile'!E24=""),"",IF('Serie mensile'!E16&gt;0,-('Serie mensile'!E16/'Serie mensile'!E24)*LN('Serie mensile'!E16/'Serie mensile'!E24),0))</x:f>
      </x:c>
      <x:c r="F16" t="str">
        <x:f>IF(OR('Serie mensile'!F16="",'Serie mensile'!F24=""),"",IF('Serie mensile'!F16&gt;0,-('Serie mensile'!F16/'Serie mensile'!F24)*LN('Serie mensile'!F16/'Serie mensile'!F24),0))</x:f>
      </x:c>
      <x:c r="G16" t="str">
        <x:f>IF(OR('Serie mensile'!G16="",'Serie mensile'!G24=""),"",IF('Serie mensile'!G16&gt;0,-('Serie mensile'!G16/'Serie mensile'!G24)*LN('Serie mensile'!G16/'Serie mensile'!G24),0))</x:f>
      </x:c>
      <x:c r="H16" t="str">
        <x:f>IF(OR('Serie mensile'!H16="",'Serie mensile'!H24=""),"",IF('Serie mensile'!H16&gt;0,-('Serie mensile'!H16/'Serie mensile'!H24)*LN('Serie mensile'!H16/'Serie mensile'!H24),0))</x:f>
      </x:c>
      <x:c r="I16" t="str">
        <x:f>IF(OR('Serie mensile'!I16="",'Serie mensile'!I24=""),"",IF('Serie mensile'!I16&gt;0,-('Serie mensile'!I16/'Serie mensile'!I24)*LN('Serie mensile'!I16/'Serie mensile'!I24),0))</x:f>
      </x:c>
      <x:c r="J16" t="str">
        <x:f>IF(OR('Serie mensile'!J16="",'Serie mensile'!J24=""),"",IF('Serie mensile'!J16&gt;0,-('Serie mensile'!J16/'Serie mensile'!J24)*LN('Serie mensile'!J16/'Serie mensile'!J24),0))</x:f>
      </x:c>
      <x:c r="K16" t="str">
        <x:f>IF(OR('Serie mensile'!K16="",'Serie mensile'!K24=""),"",IF('Serie mensile'!K16&gt;0,-('Serie mensile'!K16/'Serie mensile'!K24)*LN('Serie mensile'!K16/'Serie mensile'!K24),0))</x:f>
      </x:c>
      <x:c r="L16" t="str">
        <x:f>IF(OR('Serie mensile'!L16="",'Serie mensile'!L24=""),"",IF('Serie mensile'!L16&gt;0,-('Serie mensile'!L16/'Serie mensile'!L24)*LN('Serie mensile'!L16/'Serie mensile'!L24),0))</x:f>
      </x:c>
      <x:c r="M16" t="str">
        <x:f>IF(OR('Serie mensile'!M16="",'Serie mensile'!M24=""),"",IF('Serie mensile'!M16&gt;0,-('Serie mensile'!M16/'Serie mensile'!M24)*LN('Serie mensile'!M16/'Serie mensile'!M24),0))</x:f>
      </x:c>
      <x:c r="N16" t="str">
        <x:f>IF(OR('Serie mensile'!N16="",'Serie mensile'!N24=""),"",IF('Serie mensile'!N16&gt;0,-('Serie mensile'!N16/'Serie mensile'!N24)*LN('Serie mensile'!N16/'Serie mensile'!N24),0))</x:f>
      </x:c>
    </x:row>
    <x:row r="17">
      <x:c r="A17" t="str">
        <x:v>Molise</x:v>
      </x:c>
      <x:c r="B17" t="n">
        <x:f>IF(OR('Serie mensile'!B17="",'Serie mensile'!B24=""),"",IF('Serie mensile'!B17&gt;0,-('Serie mensile'!B17/'Serie mensile'!B24)*LN('Serie mensile'!B17/'Serie mensile'!B24),0))</x:f>
        <x:v>0.0356610738319821</x:v>
      </x:c>
      <x:c r="C17" t="str">
        <x:f>IF(OR('Serie mensile'!C17="",'Serie mensile'!C24=""),"",IF('Serie mensile'!C17&gt;0,-('Serie mensile'!C17/'Serie mensile'!C24)*LN('Serie mensile'!C17/'Serie mensile'!C24),0))</x:f>
      </x:c>
      <x:c r="D17" t="str">
        <x:f>IF(OR('Serie mensile'!D17="",'Serie mensile'!D24=""),"",IF('Serie mensile'!D17&gt;0,-('Serie mensile'!D17/'Serie mensile'!D24)*LN('Serie mensile'!D17/'Serie mensile'!D24),0))</x:f>
      </x:c>
      <x:c r="E17" t="str">
        <x:f>IF(OR('Serie mensile'!E17="",'Serie mensile'!E24=""),"",IF('Serie mensile'!E17&gt;0,-('Serie mensile'!E17/'Serie mensile'!E24)*LN('Serie mensile'!E17/'Serie mensile'!E24),0))</x:f>
      </x:c>
      <x:c r="F17" t="str">
        <x:f>IF(OR('Serie mensile'!F17="",'Serie mensile'!F24=""),"",IF('Serie mensile'!F17&gt;0,-('Serie mensile'!F17/'Serie mensile'!F24)*LN('Serie mensile'!F17/'Serie mensile'!F24),0))</x:f>
      </x:c>
      <x:c r="G17" t="str">
        <x:f>IF(OR('Serie mensile'!G17="",'Serie mensile'!G24=""),"",IF('Serie mensile'!G17&gt;0,-('Serie mensile'!G17/'Serie mensile'!G24)*LN('Serie mensile'!G17/'Serie mensile'!G24),0))</x:f>
      </x:c>
      <x:c r="H17" t="str">
        <x:f>IF(OR('Serie mensile'!H17="",'Serie mensile'!H24=""),"",IF('Serie mensile'!H17&gt;0,-('Serie mensile'!H17/'Serie mensile'!H24)*LN('Serie mensile'!H17/'Serie mensile'!H24),0))</x:f>
      </x:c>
      <x:c r="I17" t="str">
        <x:f>IF(OR('Serie mensile'!I17="",'Serie mensile'!I24=""),"",IF('Serie mensile'!I17&gt;0,-('Serie mensile'!I17/'Serie mensile'!I24)*LN('Serie mensile'!I17/'Serie mensile'!I24),0))</x:f>
      </x:c>
      <x:c r="J17" t="str">
        <x:f>IF(OR('Serie mensile'!J17="",'Serie mensile'!J24=""),"",IF('Serie mensile'!J17&gt;0,-('Serie mensile'!J17/'Serie mensile'!J24)*LN('Serie mensile'!J17/'Serie mensile'!J24),0))</x:f>
      </x:c>
      <x:c r="K17" t="str">
        <x:f>IF(OR('Serie mensile'!K17="",'Serie mensile'!K24=""),"",IF('Serie mensile'!K17&gt;0,-('Serie mensile'!K17/'Serie mensile'!K24)*LN('Serie mensile'!K17/'Serie mensile'!K24),0))</x:f>
      </x:c>
      <x:c r="L17" t="str">
        <x:f>IF(OR('Serie mensile'!L17="",'Serie mensile'!L24=""),"",IF('Serie mensile'!L17&gt;0,-('Serie mensile'!L17/'Serie mensile'!L24)*LN('Serie mensile'!L17/'Serie mensile'!L24),0))</x:f>
      </x:c>
      <x:c r="M17" t="str">
        <x:f>IF(OR('Serie mensile'!M17="",'Serie mensile'!M24=""),"",IF('Serie mensile'!M17&gt;0,-('Serie mensile'!M17/'Serie mensile'!M24)*LN('Serie mensile'!M17/'Serie mensile'!M24),0))</x:f>
      </x:c>
      <x:c r="N17" t="str">
        <x:f>IF(OR('Serie mensile'!N17="",'Serie mensile'!N24=""),"",IF('Serie mensile'!N17&gt;0,-('Serie mensile'!N17/'Serie mensile'!N24)*LN('Serie mensile'!N17/'Serie mensile'!N24),0))</x:f>
      </x:c>
    </x:row>
    <x:row r="18">
      <x:c r="A18" t="str">
        <x:v>Campania</x:v>
      </x:c>
      <x:c r="B18" t="n">
        <x:f>IF(OR('Serie mensile'!B18="",'Serie mensile'!B24=""),"",IF('Serie mensile'!B18&gt;0,-('Serie mensile'!B18/'Serie mensile'!B24)*LN('Serie mensile'!B18/'Serie mensile'!B24),0))</x:f>
        <x:v>0.20413856582310808</x:v>
      </x:c>
      <x:c r="C18" t="str">
        <x:f>IF(OR('Serie mensile'!C18="",'Serie mensile'!C24=""),"",IF('Serie mensile'!C18&gt;0,-('Serie mensile'!C18/'Serie mensile'!C24)*LN('Serie mensile'!C18/'Serie mensile'!C24),0))</x:f>
      </x:c>
      <x:c r="D18" t="str">
        <x:f>IF(OR('Serie mensile'!D18="",'Serie mensile'!D24=""),"",IF('Serie mensile'!D18&gt;0,-('Serie mensile'!D18/'Serie mensile'!D24)*LN('Serie mensile'!D18/'Serie mensile'!D24),0))</x:f>
      </x:c>
      <x:c r="E18" t="str">
        <x:f>IF(OR('Serie mensile'!E18="",'Serie mensile'!E24=""),"",IF('Serie mensile'!E18&gt;0,-('Serie mensile'!E18/'Serie mensile'!E24)*LN('Serie mensile'!E18/'Serie mensile'!E24),0))</x:f>
      </x:c>
      <x:c r="F18" t="str">
        <x:f>IF(OR('Serie mensile'!F18="",'Serie mensile'!F24=""),"",IF('Serie mensile'!F18&gt;0,-('Serie mensile'!F18/'Serie mensile'!F24)*LN('Serie mensile'!F18/'Serie mensile'!F24),0))</x:f>
      </x:c>
      <x:c r="G18" t="str">
        <x:f>IF(OR('Serie mensile'!G18="",'Serie mensile'!G24=""),"",IF('Serie mensile'!G18&gt;0,-('Serie mensile'!G18/'Serie mensile'!G24)*LN('Serie mensile'!G18/'Serie mensile'!G24),0))</x:f>
      </x:c>
      <x:c r="H18" t="str">
        <x:f>IF(OR('Serie mensile'!H18="",'Serie mensile'!H24=""),"",IF('Serie mensile'!H18&gt;0,-('Serie mensile'!H18/'Serie mensile'!H24)*LN('Serie mensile'!H18/'Serie mensile'!H24),0))</x:f>
      </x:c>
      <x:c r="I18" t="str">
        <x:f>IF(OR('Serie mensile'!I18="",'Serie mensile'!I24=""),"",IF('Serie mensile'!I18&gt;0,-('Serie mensile'!I18/'Serie mensile'!I24)*LN('Serie mensile'!I18/'Serie mensile'!I24),0))</x:f>
      </x:c>
      <x:c r="J18" t="str">
        <x:f>IF(OR('Serie mensile'!J18="",'Serie mensile'!J24=""),"",IF('Serie mensile'!J18&gt;0,-('Serie mensile'!J18/'Serie mensile'!J24)*LN('Serie mensile'!J18/'Serie mensile'!J24),0))</x:f>
      </x:c>
      <x:c r="K18" t="str">
        <x:f>IF(OR('Serie mensile'!K18="",'Serie mensile'!K24=""),"",IF('Serie mensile'!K18&gt;0,-('Serie mensile'!K18/'Serie mensile'!K24)*LN('Serie mensile'!K18/'Serie mensile'!K24),0))</x:f>
      </x:c>
      <x:c r="L18" t="str">
        <x:f>IF(OR('Serie mensile'!L18="",'Serie mensile'!L24=""),"",IF('Serie mensile'!L18&gt;0,-('Serie mensile'!L18/'Serie mensile'!L24)*LN('Serie mensile'!L18/'Serie mensile'!L24),0))</x:f>
      </x:c>
      <x:c r="M18" t="str">
        <x:f>IF(OR('Serie mensile'!M18="",'Serie mensile'!M24=""),"",IF('Serie mensile'!M18&gt;0,-('Serie mensile'!M18/'Serie mensile'!M24)*LN('Serie mensile'!M18/'Serie mensile'!M24),0))</x:f>
      </x:c>
      <x:c r="N18" t="str">
        <x:f>IF(OR('Serie mensile'!N18="",'Serie mensile'!N24=""),"",IF('Serie mensile'!N18&gt;0,-('Serie mensile'!N18/'Serie mensile'!N24)*LN('Serie mensile'!N18/'Serie mensile'!N24),0))</x:f>
      </x:c>
    </x:row>
    <x:row r="19">
      <x:c r="A19" t="str">
        <x:v>Puglia</x:v>
      </x:c>
      <x:c r="B19" t="n">
        <x:f>IF(OR('Serie mensile'!B19="",'Serie mensile'!B24=""),"",IF('Serie mensile'!B19&gt;0,-('Serie mensile'!B19/'Serie mensile'!B24)*LN('Serie mensile'!B19/'Serie mensile'!B24),0))</x:f>
        <x:v>0.21188994814914455</x:v>
      </x:c>
      <x:c r="C19" t="str">
        <x:f>IF(OR('Serie mensile'!C19="",'Serie mensile'!C24=""),"",IF('Serie mensile'!C19&gt;0,-('Serie mensile'!C19/'Serie mensile'!C24)*LN('Serie mensile'!C19/'Serie mensile'!C24),0))</x:f>
      </x:c>
      <x:c r="D19" t="str">
        <x:f>IF(OR('Serie mensile'!D19="",'Serie mensile'!D24=""),"",IF('Serie mensile'!D19&gt;0,-('Serie mensile'!D19/'Serie mensile'!D24)*LN('Serie mensile'!D19/'Serie mensile'!D24),0))</x:f>
      </x:c>
      <x:c r="E19" t="str">
        <x:f>IF(OR('Serie mensile'!E19="",'Serie mensile'!E24=""),"",IF('Serie mensile'!E19&gt;0,-('Serie mensile'!E19/'Serie mensile'!E24)*LN('Serie mensile'!E19/'Serie mensile'!E24),0))</x:f>
      </x:c>
      <x:c r="F19" t="str">
        <x:f>IF(OR('Serie mensile'!F19="",'Serie mensile'!F24=""),"",IF('Serie mensile'!F19&gt;0,-('Serie mensile'!F19/'Serie mensile'!F24)*LN('Serie mensile'!F19/'Serie mensile'!F24),0))</x:f>
      </x:c>
      <x:c r="G19" t="str">
        <x:f>IF(OR('Serie mensile'!G19="",'Serie mensile'!G24=""),"",IF('Serie mensile'!G19&gt;0,-('Serie mensile'!G19/'Serie mensile'!G24)*LN('Serie mensile'!G19/'Serie mensile'!G24),0))</x:f>
      </x:c>
      <x:c r="H19" t="str">
        <x:f>IF(OR('Serie mensile'!H19="",'Serie mensile'!H24=""),"",IF('Serie mensile'!H19&gt;0,-('Serie mensile'!H19/'Serie mensile'!H24)*LN('Serie mensile'!H19/'Serie mensile'!H24),0))</x:f>
      </x:c>
      <x:c r="I19" t="str">
        <x:f>IF(OR('Serie mensile'!I19="",'Serie mensile'!I24=""),"",IF('Serie mensile'!I19&gt;0,-('Serie mensile'!I19/'Serie mensile'!I24)*LN('Serie mensile'!I19/'Serie mensile'!I24),0))</x:f>
      </x:c>
      <x:c r="J19" t="str">
        <x:f>IF(OR('Serie mensile'!J19="",'Serie mensile'!J24=""),"",IF('Serie mensile'!J19&gt;0,-('Serie mensile'!J19/'Serie mensile'!J24)*LN('Serie mensile'!J19/'Serie mensile'!J24),0))</x:f>
      </x:c>
      <x:c r="K19" t="str">
        <x:f>IF(OR('Serie mensile'!K19="",'Serie mensile'!K24=""),"",IF('Serie mensile'!K19&gt;0,-('Serie mensile'!K19/'Serie mensile'!K24)*LN('Serie mensile'!K19/'Serie mensile'!K24),0))</x:f>
      </x:c>
      <x:c r="L19" t="str">
        <x:f>IF(OR('Serie mensile'!L19="",'Serie mensile'!L24=""),"",IF('Serie mensile'!L19&gt;0,-('Serie mensile'!L19/'Serie mensile'!L24)*LN('Serie mensile'!L19/'Serie mensile'!L24),0))</x:f>
      </x:c>
      <x:c r="M19" t="str">
        <x:f>IF(OR('Serie mensile'!M19="",'Serie mensile'!M24=""),"",IF('Serie mensile'!M19&gt;0,-('Serie mensile'!M19/'Serie mensile'!M24)*LN('Serie mensile'!M19/'Serie mensile'!M24),0))</x:f>
      </x:c>
      <x:c r="N19" t="str">
        <x:f>IF(OR('Serie mensile'!N19="",'Serie mensile'!N24=""),"",IF('Serie mensile'!N19&gt;0,-('Serie mensile'!N19/'Serie mensile'!N24)*LN('Serie mensile'!N19/'Serie mensile'!N24),0))</x:f>
      </x:c>
    </x:row>
    <x:row r="20">
      <x:c r="A20" t="str">
        <x:v>Basilicata</x:v>
      </x:c>
      <x:c r="B20" t="n">
        <x:f>IF(OR('Serie mensile'!B20="",'Serie mensile'!B24=""),"",IF('Serie mensile'!B20&gt;0,-('Serie mensile'!B20/'Serie mensile'!B24)*LN('Serie mensile'!B20/'Serie mensile'!B24),0))</x:f>
        <x:v>0.03973103637251359</x:v>
      </x:c>
      <x:c r="C20" t="str">
        <x:f>IF(OR('Serie mensile'!C20="",'Serie mensile'!C24=""),"",IF('Serie mensile'!C20&gt;0,-('Serie mensile'!C20/'Serie mensile'!C24)*LN('Serie mensile'!C20/'Serie mensile'!C24),0))</x:f>
      </x:c>
      <x:c r="D20" t="str">
        <x:f>IF(OR('Serie mensile'!D20="",'Serie mensile'!D24=""),"",IF('Serie mensile'!D20&gt;0,-('Serie mensile'!D20/'Serie mensile'!D24)*LN('Serie mensile'!D20/'Serie mensile'!D24),0))</x:f>
      </x:c>
      <x:c r="E20" t="str">
        <x:f>IF(OR('Serie mensile'!E20="",'Serie mensile'!E24=""),"",IF('Serie mensile'!E20&gt;0,-('Serie mensile'!E20/'Serie mensile'!E24)*LN('Serie mensile'!E20/'Serie mensile'!E24),0))</x:f>
      </x:c>
      <x:c r="F20" t="str">
        <x:f>IF(OR('Serie mensile'!F20="",'Serie mensile'!F24=""),"",IF('Serie mensile'!F20&gt;0,-('Serie mensile'!F20/'Serie mensile'!F24)*LN('Serie mensile'!F20/'Serie mensile'!F24),0))</x:f>
      </x:c>
      <x:c r="G20" t="str">
        <x:f>IF(OR('Serie mensile'!G20="",'Serie mensile'!G24=""),"",IF('Serie mensile'!G20&gt;0,-('Serie mensile'!G20/'Serie mensile'!G24)*LN('Serie mensile'!G20/'Serie mensile'!G24),0))</x:f>
      </x:c>
      <x:c r="H20" t="str">
        <x:f>IF(OR('Serie mensile'!H20="",'Serie mensile'!H24=""),"",IF('Serie mensile'!H20&gt;0,-('Serie mensile'!H20/'Serie mensile'!H24)*LN('Serie mensile'!H20/'Serie mensile'!H24),0))</x:f>
      </x:c>
      <x:c r="I20" t="str">
        <x:f>IF(OR('Serie mensile'!I20="",'Serie mensile'!I24=""),"",IF('Serie mensile'!I20&gt;0,-('Serie mensile'!I20/'Serie mensile'!I24)*LN('Serie mensile'!I20/'Serie mensile'!I24),0))</x:f>
      </x:c>
      <x:c r="J20" t="str">
        <x:f>IF(OR('Serie mensile'!J20="",'Serie mensile'!J24=""),"",IF('Serie mensile'!J20&gt;0,-('Serie mensile'!J20/'Serie mensile'!J24)*LN('Serie mensile'!J20/'Serie mensile'!J24),0))</x:f>
      </x:c>
      <x:c r="K20" t="str">
        <x:f>IF(OR('Serie mensile'!K20="",'Serie mensile'!K24=""),"",IF('Serie mensile'!K20&gt;0,-('Serie mensile'!K20/'Serie mensile'!K24)*LN('Serie mensile'!K20/'Serie mensile'!K24),0))</x:f>
      </x:c>
      <x:c r="L20" t="str">
        <x:f>IF(OR('Serie mensile'!L20="",'Serie mensile'!L24=""),"",IF('Serie mensile'!L20&gt;0,-('Serie mensile'!L20/'Serie mensile'!L24)*LN('Serie mensile'!L20/'Serie mensile'!L24),0))</x:f>
      </x:c>
      <x:c r="M20" t="str">
        <x:f>IF(OR('Serie mensile'!M20="",'Serie mensile'!M24=""),"",IF('Serie mensile'!M20&gt;0,-('Serie mensile'!M20/'Serie mensile'!M24)*LN('Serie mensile'!M20/'Serie mensile'!M24),0))</x:f>
      </x:c>
      <x:c r="N20" t="str">
        <x:f>IF(OR('Serie mensile'!N20="",'Serie mensile'!N24=""),"",IF('Serie mensile'!N20&gt;0,-('Serie mensile'!N20/'Serie mensile'!N24)*LN('Serie mensile'!N20/'Serie mensile'!N24),0))</x:f>
      </x:c>
    </x:row>
    <x:row r="21">
      <x:c r="A21" t="str">
        <x:v>Calabria</x:v>
      </x:c>
      <x:c r="B21" t="n">
        <x:f>IF(OR('Serie mensile'!B21="",'Serie mensile'!B24=""),"",IF('Serie mensile'!B21&gt;0,-('Serie mensile'!B21/'Serie mensile'!B24)*LN('Serie mensile'!B21/'Serie mensile'!B24),0))</x:f>
        <x:v>0.12748533552064287</x:v>
      </x:c>
      <x:c r="C21" t="str">
        <x:f>IF(OR('Serie mensile'!C21="",'Serie mensile'!C24=""),"",IF('Serie mensile'!C21&gt;0,-('Serie mensile'!C21/'Serie mensile'!C24)*LN('Serie mensile'!C21/'Serie mensile'!C24),0))</x:f>
      </x:c>
      <x:c r="D21" t="str">
        <x:f>IF(OR('Serie mensile'!D21="",'Serie mensile'!D24=""),"",IF('Serie mensile'!D21&gt;0,-('Serie mensile'!D21/'Serie mensile'!D24)*LN('Serie mensile'!D21/'Serie mensile'!D24),0))</x:f>
      </x:c>
      <x:c r="E21" t="str">
        <x:f>IF(OR('Serie mensile'!E21="",'Serie mensile'!E24=""),"",IF('Serie mensile'!E21&gt;0,-('Serie mensile'!E21/'Serie mensile'!E24)*LN('Serie mensile'!E21/'Serie mensile'!E24),0))</x:f>
      </x:c>
      <x:c r="F21" t="str">
        <x:f>IF(OR('Serie mensile'!F21="",'Serie mensile'!F24=""),"",IF('Serie mensile'!F21&gt;0,-('Serie mensile'!F21/'Serie mensile'!F24)*LN('Serie mensile'!F21/'Serie mensile'!F24),0))</x:f>
      </x:c>
      <x:c r="G21" t="str">
        <x:f>IF(OR('Serie mensile'!G21="",'Serie mensile'!G24=""),"",IF('Serie mensile'!G21&gt;0,-('Serie mensile'!G21/'Serie mensile'!G24)*LN('Serie mensile'!G21/'Serie mensile'!G24),0))</x:f>
      </x:c>
      <x:c r="H21" t="str">
        <x:f>IF(OR('Serie mensile'!H21="",'Serie mensile'!H24=""),"",IF('Serie mensile'!H21&gt;0,-('Serie mensile'!H21/'Serie mensile'!H24)*LN('Serie mensile'!H21/'Serie mensile'!H24),0))</x:f>
      </x:c>
      <x:c r="I21" t="str">
        <x:f>IF(OR('Serie mensile'!I21="",'Serie mensile'!I24=""),"",IF('Serie mensile'!I21&gt;0,-('Serie mensile'!I21/'Serie mensile'!I24)*LN('Serie mensile'!I21/'Serie mensile'!I24),0))</x:f>
      </x:c>
      <x:c r="J21" t="str">
        <x:f>IF(OR('Serie mensile'!J21="",'Serie mensile'!J24=""),"",IF('Serie mensile'!J21&gt;0,-('Serie mensile'!J21/'Serie mensile'!J24)*LN('Serie mensile'!J21/'Serie mensile'!J24),0))</x:f>
      </x:c>
      <x:c r="K21" t="str">
        <x:f>IF(OR('Serie mensile'!K21="",'Serie mensile'!K24=""),"",IF('Serie mensile'!K21&gt;0,-('Serie mensile'!K21/'Serie mensile'!K24)*LN('Serie mensile'!K21/'Serie mensile'!K24),0))</x:f>
      </x:c>
      <x:c r="L21" t="str">
        <x:f>IF(OR('Serie mensile'!L21="",'Serie mensile'!L24=""),"",IF('Serie mensile'!L21&gt;0,-('Serie mensile'!L21/'Serie mensile'!L24)*LN('Serie mensile'!L21/'Serie mensile'!L24),0))</x:f>
      </x:c>
      <x:c r="M21" t="str">
        <x:f>IF(OR('Serie mensile'!M21="",'Serie mensile'!M24=""),"",IF('Serie mensile'!M21&gt;0,-('Serie mensile'!M21/'Serie mensile'!M24)*LN('Serie mensile'!M21/'Serie mensile'!M24),0))</x:f>
      </x:c>
      <x:c r="N21" t="str">
        <x:f>IF(OR('Serie mensile'!N21="",'Serie mensile'!N24=""),"",IF('Serie mensile'!N21&gt;0,-('Serie mensile'!N21/'Serie mensile'!N24)*LN('Serie mensile'!N21/'Serie mensile'!N24),0))</x:f>
      </x:c>
    </x:row>
    <x:row r="22">
      <x:c r="A22" t="str">
        <x:v>Sicilia</x:v>
      </x:c>
      <x:c r="B22" t="n">
        <x:f>IF(OR('Serie mensile'!B22="",'Serie mensile'!B24=""),"",IF('Serie mensile'!B22&gt;0,-('Serie mensile'!B22/'Serie mensile'!B24)*LN('Serie mensile'!B22/'Serie mensile'!B24),0))</x:f>
        <x:v>0.18647753315288834</x:v>
      </x:c>
      <x:c r="C22" t="str">
        <x:f>IF(OR('Serie mensile'!C22="",'Serie mensile'!C24=""),"",IF('Serie mensile'!C22&gt;0,-('Serie mensile'!C22/'Serie mensile'!C24)*LN('Serie mensile'!C22/'Serie mensile'!C24),0))</x:f>
      </x:c>
      <x:c r="D22" t="str">
        <x:f>IF(OR('Serie mensile'!D22="",'Serie mensile'!D24=""),"",IF('Serie mensile'!D22&gt;0,-('Serie mensile'!D22/'Serie mensile'!D24)*LN('Serie mensile'!D22/'Serie mensile'!D24),0))</x:f>
      </x:c>
      <x:c r="E22" t="str">
        <x:f>IF(OR('Serie mensile'!E22="",'Serie mensile'!E24=""),"",IF('Serie mensile'!E22&gt;0,-('Serie mensile'!E22/'Serie mensile'!E24)*LN('Serie mensile'!E22/'Serie mensile'!E24),0))</x:f>
      </x:c>
      <x:c r="F22" t="str">
        <x:f>IF(OR('Serie mensile'!F22="",'Serie mensile'!F24=""),"",IF('Serie mensile'!F22&gt;0,-('Serie mensile'!F22/'Serie mensile'!F24)*LN('Serie mensile'!F22/'Serie mensile'!F24),0))</x:f>
      </x:c>
      <x:c r="G22" t="str">
        <x:f>IF(OR('Serie mensile'!G22="",'Serie mensile'!G24=""),"",IF('Serie mensile'!G22&gt;0,-('Serie mensile'!G22/'Serie mensile'!G24)*LN('Serie mensile'!G22/'Serie mensile'!G24),0))</x:f>
      </x:c>
      <x:c r="H22" t="str">
        <x:f>IF(OR('Serie mensile'!H22="",'Serie mensile'!H24=""),"",IF('Serie mensile'!H22&gt;0,-('Serie mensile'!H22/'Serie mensile'!H24)*LN('Serie mensile'!H22/'Serie mensile'!H24),0))</x:f>
      </x:c>
      <x:c r="I22" t="str">
        <x:f>IF(OR('Serie mensile'!I22="",'Serie mensile'!I24=""),"",IF('Serie mensile'!I22&gt;0,-('Serie mensile'!I22/'Serie mensile'!I24)*LN('Serie mensile'!I22/'Serie mensile'!I24),0))</x:f>
      </x:c>
      <x:c r="J22" t="str">
        <x:f>IF(OR('Serie mensile'!J22="",'Serie mensile'!J24=""),"",IF('Serie mensile'!J22&gt;0,-('Serie mensile'!J22/'Serie mensile'!J24)*LN('Serie mensile'!J22/'Serie mensile'!J24),0))</x:f>
      </x:c>
      <x:c r="K22" t="str">
        <x:f>IF(OR('Serie mensile'!K22="",'Serie mensile'!K24=""),"",IF('Serie mensile'!K22&gt;0,-('Serie mensile'!K22/'Serie mensile'!K24)*LN('Serie mensile'!K22/'Serie mensile'!K24),0))</x:f>
      </x:c>
      <x:c r="L22" t="str">
        <x:f>IF(OR('Serie mensile'!L22="",'Serie mensile'!L24=""),"",IF('Serie mensile'!L22&gt;0,-('Serie mensile'!L22/'Serie mensile'!L24)*LN('Serie mensile'!L22/'Serie mensile'!L24),0))</x:f>
      </x:c>
      <x:c r="M22" t="str">
        <x:f>IF(OR('Serie mensile'!M22="",'Serie mensile'!M24=""),"",IF('Serie mensile'!M22&gt;0,-('Serie mensile'!M22/'Serie mensile'!M24)*LN('Serie mensile'!M22/'Serie mensile'!M24),0))</x:f>
      </x:c>
      <x:c r="N22" t="str">
        <x:f>IF(OR('Serie mensile'!N22="",'Serie mensile'!N24=""),"",IF('Serie mensile'!N22&gt;0,-('Serie mensile'!N22/'Serie mensile'!N24)*LN('Serie mensile'!N22/'Serie mensile'!N24),0))</x:f>
      </x:c>
    </x:row>
    <x:row r="23">
      <x:c r="A23" t="str">
        <x:v>Sardegna</x:v>
      </x:c>
      <x:c r="B23" t="n">
        <x:f>IF(OR('Serie mensile'!B23="",'Serie mensile'!B24=""),"",IF('Serie mensile'!B23&gt;0,-('Serie mensile'!B23/'Serie mensile'!B24)*LN('Serie mensile'!B23/'Serie mensile'!B24),0))</x:f>
        <x:v>0.11153505857682924</x:v>
      </x:c>
      <x:c r="C23" t="str">
        <x:f>IF(OR('Serie mensile'!C23="",'Serie mensile'!C24=""),"",IF('Serie mensile'!C23&gt;0,-('Serie mensile'!C23/'Serie mensile'!C24)*LN('Serie mensile'!C23/'Serie mensile'!C24),0))</x:f>
      </x:c>
      <x:c r="D23" t="str">
        <x:f>IF(OR('Serie mensile'!D23="",'Serie mensile'!D24=""),"",IF('Serie mensile'!D23&gt;0,-('Serie mensile'!D23/'Serie mensile'!D24)*LN('Serie mensile'!D23/'Serie mensile'!D24),0))</x:f>
      </x:c>
      <x:c r="E23" t="str">
        <x:f>IF(OR('Serie mensile'!E23="",'Serie mensile'!E24=""),"",IF('Serie mensile'!E23&gt;0,-('Serie mensile'!E23/'Serie mensile'!E24)*LN('Serie mensile'!E23/'Serie mensile'!E24),0))</x:f>
      </x:c>
      <x:c r="F23" t="str">
        <x:f>IF(OR('Serie mensile'!F23="",'Serie mensile'!F24=""),"",IF('Serie mensile'!F23&gt;0,-('Serie mensile'!F23/'Serie mensile'!F24)*LN('Serie mensile'!F23/'Serie mensile'!F24),0))</x:f>
      </x:c>
      <x:c r="G23" t="str">
        <x:f>IF(OR('Serie mensile'!G23="",'Serie mensile'!G24=""),"",IF('Serie mensile'!G23&gt;0,-('Serie mensile'!G23/'Serie mensile'!G24)*LN('Serie mensile'!G23/'Serie mensile'!G24),0))</x:f>
      </x:c>
      <x:c r="H23" t="str">
        <x:f>IF(OR('Serie mensile'!H23="",'Serie mensile'!H24=""),"",IF('Serie mensile'!H23&gt;0,-('Serie mensile'!H23/'Serie mensile'!H24)*LN('Serie mensile'!H23/'Serie mensile'!H24),0))</x:f>
      </x:c>
      <x:c r="I23" t="str">
        <x:f>IF(OR('Serie mensile'!I23="",'Serie mensile'!I24=""),"",IF('Serie mensile'!I23&gt;0,-('Serie mensile'!I23/'Serie mensile'!I24)*LN('Serie mensile'!I23/'Serie mensile'!I24),0))</x:f>
      </x:c>
      <x:c r="J23" t="str">
        <x:f>IF(OR('Serie mensile'!J23="",'Serie mensile'!J24=""),"",IF('Serie mensile'!J23&gt;0,-('Serie mensile'!J23/'Serie mensile'!J24)*LN('Serie mensile'!J23/'Serie mensile'!J24),0))</x:f>
      </x:c>
      <x:c r="K23" t="str">
        <x:f>IF(OR('Serie mensile'!K23="",'Serie mensile'!K24=""),"",IF('Serie mensile'!K23&gt;0,-('Serie mensile'!K23/'Serie mensile'!K24)*LN('Serie mensile'!K23/'Serie mensile'!K24),0))</x:f>
      </x:c>
      <x:c r="L23" t="str">
        <x:f>IF(OR('Serie mensile'!L23="",'Serie mensile'!L24=""),"",IF('Serie mensile'!L23&gt;0,-('Serie mensile'!L23/'Serie mensile'!L24)*LN('Serie mensile'!L23/'Serie mensile'!L24),0))</x:f>
      </x:c>
      <x:c r="M23" t="str">
        <x:f>IF(OR('Serie mensile'!M23="",'Serie mensile'!M24=""),"",IF('Serie mensile'!M23&gt;0,-('Serie mensile'!M23/'Serie mensile'!M24)*LN('Serie mensile'!M23/'Serie mensile'!M24),0))</x:f>
      </x:c>
      <x:c r="N23" t="str">
        <x:f>IF(OR('Serie mensile'!N23="",'Serie mensile'!N24=""),"",IF('Serie mensile'!N23&gt;0,-('Serie mensile'!N23/'Serie mensile'!N24)*LN('Serie mensile'!N23/'Serie mensile'!N24),0))</x:f>
      </x:c>
    </x:row>
  </x:sheetData>
  <x:pageMargins left="0.7" right="0.7" top="0.75" bottom="0.75" header="0.3" footer="0.3"/>
</x:worksheet>
</file>